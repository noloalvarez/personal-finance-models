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anolo\Documents\SFL\Seminars on Financial Literacy 2.0\"/>
    </mc:Choice>
  </mc:AlternateContent>
  <xr:revisionPtr revIDLastSave="0" documentId="13_ncr:1_{EABB5546-F0D7-4821-8BEB-AA5E00710F43}" xr6:coauthVersionLast="47" xr6:coauthVersionMax="47" xr10:uidLastSave="{00000000-0000-0000-0000-000000000000}"/>
  <bookViews>
    <workbookView xWindow="-109" yWindow="-109" windowWidth="26301" windowHeight="14305" xr2:uid="{00000000-000D-0000-FFFF-FFFF00000000}"/>
  </bookViews>
  <sheets>
    <sheet name="Buy vs Rent – Ending Wealth" sheetId="1" r:id="rId1"/>
    <sheet name="Help - Instructions" sheetId="2" r:id="rId2"/>
  </sheets>
  <calcPr calcId="181029"/>
</workbook>
</file>

<file path=xl/calcChain.xml><?xml version="1.0" encoding="utf-8"?>
<calcChain xmlns="http://schemas.openxmlformats.org/spreadsheetml/2006/main">
  <c r="N33" i="1" l="1"/>
  <c r="M33" i="1"/>
  <c r="O33" i="1" s="1"/>
  <c r="G33" i="1"/>
  <c r="F33" i="1"/>
  <c r="A33" i="1"/>
  <c r="Q32" i="1"/>
  <c r="S32" i="1" s="1"/>
  <c r="N32" i="1"/>
  <c r="M32" i="1"/>
  <c r="O32" i="1" s="1"/>
  <c r="P32" i="1" s="1"/>
  <c r="I32" i="1"/>
  <c r="H32" i="1"/>
  <c r="G32" i="1"/>
  <c r="F32" i="1"/>
  <c r="E32" i="1"/>
  <c r="D32" i="1"/>
  <c r="C32" i="1"/>
  <c r="J32" i="1" s="1"/>
  <c r="B32" i="1"/>
  <c r="B11" i="1"/>
  <c r="E33" i="1" l="1"/>
  <c r="K32" i="1"/>
  <c r="L32" i="1" s="1"/>
  <c r="R32" i="1" s="1"/>
  <c r="T32" i="1" s="1"/>
  <c r="U32" i="1" s="1"/>
  <c r="D33" i="1"/>
  <c r="C33" i="1"/>
  <c r="J33" i="1" s="1"/>
  <c r="A34" i="1"/>
  <c r="B33" i="1"/>
  <c r="H33" i="1"/>
  <c r="I33" i="1" s="1"/>
  <c r="P33" i="1" s="1"/>
  <c r="Q33" i="1" s="1"/>
  <c r="S33" i="1" l="1"/>
  <c r="K33" i="1"/>
  <c r="L33" i="1" s="1"/>
  <c r="R33" i="1" s="1"/>
  <c r="C34" i="1"/>
  <c r="J34" i="1" s="1"/>
  <c r="A35" i="1"/>
  <c r="B34" i="1"/>
  <c r="G34" i="1"/>
  <c r="H34" i="1"/>
  <c r="F34" i="1"/>
  <c r="E34" i="1"/>
  <c r="I34" i="1" s="1"/>
  <c r="D34" i="1"/>
  <c r="N34" i="1"/>
  <c r="M34" i="1"/>
  <c r="K34" i="1" l="1"/>
  <c r="L34" i="1" s="1"/>
  <c r="R34" i="1" s="1"/>
  <c r="O34" i="1"/>
  <c r="P34" i="1" s="1"/>
  <c r="Q34" i="1" s="1"/>
  <c r="A36" i="1"/>
  <c r="B35" i="1"/>
  <c r="H35" i="1"/>
  <c r="N35" i="1"/>
  <c r="F35" i="1"/>
  <c r="D35" i="1"/>
  <c r="M35" i="1"/>
  <c r="O35" i="1" s="1"/>
  <c r="C35" i="1"/>
  <c r="J35" i="1" s="1"/>
  <c r="G35" i="1"/>
  <c r="E35" i="1"/>
  <c r="I35" i="1" s="1"/>
  <c r="T33" i="1"/>
  <c r="U33" i="1" s="1"/>
  <c r="K6" i="1"/>
  <c r="X6" i="1"/>
  <c r="Y6" i="1"/>
  <c r="L6" i="1"/>
  <c r="P35" i="1" l="1"/>
  <c r="Z6" i="1"/>
  <c r="AA6" i="1" s="1"/>
  <c r="M6" i="1"/>
  <c r="N6" i="1" s="1"/>
  <c r="S34" i="1"/>
  <c r="T34" i="1" s="1"/>
  <c r="U34" i="1" s="1"/>
  <c r="Q35" i="1"/>
  <c r="X7" i="1"/>
  <c r="K7" i="1"/>
  <c r="K35" i="1"/>
  <c r="L35" i="1" s="1"/>
  <c r="R35" i="1" s="1"/>
  <c r="H36" i="1"/>
  <c r="A37" i="1"/>
  <c r="G36" i="1"/>
  <c r="N36" i="1"/>
  <c r="E36" i="1"/>
  <c r="I36" i="1" s="1"/>
  <c r="F36" i="1"/>
  <c r="D36" i="1"/>
  <c r="C36" i="1"/>
  <c r="J36" i="1" s="1"/>
  <c r="B36" i="1"/>
  <c r="M36" i="1"/>
  <c r="K8" i="1" l="1"/>
  <c r="X8" i="1"/>
  <c r="S35" i="1"/>
  <c r="K36" i="1"/>
  <c r="L36" i="1" s="1"/>
  <c r="R36" i="1" s="1"/>
  <c r="O36" i="1"/>
  <c r="P36" i="1" s="1"/>
  <c r="Q36" i="1" s="1"/>
  <c r="H37" i="1"/>
  <c r="C37" i="1"/>
  <c r="J37" i="1" s="1"/>
  <c r="B37" i="1"/>
  <c r="A38" i="1"/>
  <c r="G37" i="1"/>
  <c r="E37" i="1"/>
  <c r="D37" i="1"/>
  <c r="N37" i="1"/>
  <c r="M37" i="1"/>
  <c r="O37" i="1" s="1"/>
  <c r="F37" i="1"/>
  <c r="Y7" i="1"/>
  <c r="Z7" i="1" s="1"/>
  <c r="AA7" i="1" s="1"/>
  <c r="L7" i="1"/>
  <c r="M7" i="1" s="1"/>
  <c r="N7" i="1" s="1"/>
  <c r="I37" i="1" l="1"/>
  <c r="P37" i="1" s="1"/>
  <c r="X9" i="1"/>
  <c r="K9" i="1"/>
  <c r="K37" i="1"/>
  <c r="L37" i="1" s="1"/>
  <c r="R37" i="1" s="1"/>
  <c r="A39" i="1"/>
  <c r="G38" i="1"/>
  <c r="E38" i="1"/>
  <c r="I38" i="1" s="1"/>
  <c r="N38" i="1"/>
  <c r="D38" i="1"/>
  <c r="M38" i="1"/>
  <c r="O38" i="1" s="1"/>
  <c r="C38" i="1"/>
  <c r="J38" i="1" s="1"/>
  <c r="H38" i="1"/>
  <c r="F38" i="1"/>
  <c r="B38" i="1"/>
  <c r="S36" i="1"/>
  <c r="Q37" i="1"/>
  <c r="L8" i="1"/>
  <c r="M8" i="1" s="1"/>
  <c r="N8" i="1" s="1"/>
  <c r="Y8" i="1"/>
  <c r="Z8" i="1" s="1"/>
  <c r="AA8" i="1" s="1"/>
  <c r="T35" i="1"/>
  <c r="U35" i="1" s="1"/>
  <c r="P38" i="1" l="1"/>
  <c r="Q38" i="1" s="1"/>
  <c r="K10" i="1"/>
  <c r="S37" i="1"/>
  <c r="Y9" i="1"/>
  <c r="Z9" i="1" s="1"/>
  <c r="AA9" i="1" s="1"/>
  <c r="L9" i="1"/>
  <c r="M9" i="1" s="1"/>
  <c r="N9" i="1" s="1"/>
  <c r="N39" i="1"/>
  <c r="F39" i="1"/>
  <c r="B39" i="1"/>
  <c r="G39" i="1"/>
  <c r="H39" i="1"/>
  <c r="E39" i="1"/>
  <c r="I39" i="1" s="1"/>
  <c r="D39" i="1"/>
  <c r="A40" i="1"/>
  <c r="C39" i="1"/>
  <c r="J39" i="1" s="1"/>
  <c r="M39" i="1"/>
  <c r="T36" i="1"/>
  <c r="U36" i="1" s="1"/>
  <c r="K38" i="1"/>
  <c r="L38" i="1" s="1"/>
  <c r="R38" i="1" s="1"/>
  <c r="H40" i="1" l="1"/>
  <c r="G40" i="1"/>
  <c r="M40" i="1"/>
  <c r="O40" i="1" s="1"/>
  <c r="E40" i="1"/>
  <c r="I40" i="1" s="1"/>
  <c r="D40" i="1"/>
  <c r="F40" i="1"/>
  <c r="N40" i="1"/>
  <c r="C40" i="1"/>
  <c r="J40" i="1" s="1"/>
  <c r="B40" i="1"/>
  <c r="A41" i="1"/>
  <c r="Y10" i="1"/>
  <c r="L10" i="1"/>
  <c r="M10" i="1" s="1"/>
  <c r="N10" i="1" s="1"/>
  <c r="S38" i="1"/>
  <c r="T38" i="1" s="1"/>
  <c r="U38" i="1" s="1"/>
  <c r="K39" i="1"/>
  <c r="L39" i="1" s="1"/>
  <c r="R39" i="1" s="1"/>
  <c r="X11" i="1"/>
  <c r="K11" i="1"/>
  <c r="O39" i="1"/>
  <c r="P39" i="1" s="1"/>
  <c r="Q39" i="1" s="1"/>
  <c r="T37" i="1"/>
  <c r="U37" i="1" s="1"/>
  <c r="P40" i="1" l="1"/>
  <c r="X12" i="1"/>
  <c r="G41" i="1"/>
  <c r="N41" i="1"/>
  <c r="F41" i="1"/>
  <c r="D41" i="1"/>
  <c r="E41" i="1"/>
  <c r="I41" i="1" s="1"/>
  <c r="P41" i="1" s="1"/>
  <c r="H41" i="1"/>
  <c r="C41" i="1"/>
  <c r="J41" i="1" s="1"/>
  <c r="B41" i="1"/>
  <c r="A42" i="1"/>
  <c r="M41" i="1"/>
  <c r="O41" i="1" s="1"/>
  <c r="K40" i="1"/>
  <c r="L40" i="1" s="1"/>
  <c r="R40" i="1" s="1"/>
  <c r="S39" i="1"/>
  <c r="Q40" i="1"/>
  <c r="Y11" i="1"/>
  <c r="Z11" i="1" s="1"/>
  <c r="AA11" i="1" s="1"/>
  <c r="L11" i="1"/>
  <c r="M11" i="1" s="1"/>
  <c r="N11" i="1" s="1"/>
  <c r="N42" i="1" l="1"/>
  <c r="F42" i="1"/>
  <c r="M42" i="1"/>
  <c r="O42" i="1" s="1"/>
  <c r="E42" i="1"/>
  <c r="C42" i="1"/>
  <c r="J42" i="1" s="1"/>
  <c r="G42" i="1"/>
  <c r="H42" i="1"/>
  <c r="D42" i="1"/>
  <c r="B42" i="1"/>
  <c r="A43" i="1"/>
  <c r="S40" i="1"/>
  <c r="T40" i="1" s="1"/>
  <c r="U40" i="1" s="1"/>
  <c r="Q41" i="1"/>
  <c r="L12" i="1"/>
  <c r="Y12" i="1"/>
  <c r="Z12" i="1" s="1"/>
  <c r="AA12" i="1" s="1"/>
  <c r="X13" i="1"/>
  <c r="K41" i="1"/>
  <c r="L41" i="1" s="1"/>
  <c r="R41" i="1" s="1"/>
  <c r="T39" i="1"/>
  <c r="U39" i="1" s="1"/>
  <c r="I42" i="1" l="1"/>
  <c r="P42" i="1" s="1"/>
  <c r="Q42" i="1" s="1"/>
  <c r="S41" i="1"/>
  <c r="L14" i="1" s="1"/>
  <c r="M43" i="1"/>
  <c r="O43" i="1" s="1"/>
  <c r="E43" i="1"/>
  <c r="I43" i="1" s="1"/>
  <c r="D43" i="1"/>
  <c r="A44" i="1"/>
  <c r="B43" i="1"/>
  <c r="N43" i="1"/>
  <c r="G43" i="1"/>
  <c r="H43" i="1"/>
  <c r="F43" i="1"/>
  <c r="C43" i="1"/>
  <c r="J43" i="1" s="1"/>
  <c r="K42" i="1"/>
  <c r="L42" i="1" s="1"/>
  <c r="R42" i="1" s="1"/>
  <c r="P43" i="1" l="1"/>
  <c r="Q43" i="1" s="1"/>
  <c r="D44" i="1"/>
  <c r="C44" i="1"/>
  <c r="J44" i="1" s="1"/>
  <c r="A45" i="1"/>
  <c r="N44" i="1"/>
  <c r="M44" i="1"/>
  <c r="O44" i="1" s="1"/>
  <c r="G44" i="1"/>
  <c r="H44" i="1"/>
  <c r="F44" i="1"/>
  <c r="E44" i="1"/>
  <c r="I44" i="1" s="1"/>
  <c r="B44" i="1"/>
  <c r="K43" i="1"/>
  <c r="L43" i="1" s="1"/>
  <c r="R43" i="1" s="1"/>
  <c r="S42" i="1"/>
  <c r="T42" i="1" s="1"/>
  <c r="U42" i="1" s="1"/>
  <c r="T41" i="1"/>
  <c r="U41" i="1" s="1"/>
  <c r="P44" i="1" l="1"/>
  <c r="Q44" i="1" s="1"/>
  <c r="C45" i="1"/>
  <c r="J45" i="1" s="1"/>
  <c r="A46" i="1"/>
  <c r="B45" i="1"/>
  <c r="H45" i="1"/>
  <c r="N45" i="1"/>
  <c r="M45" i="1"/>
  <c r="O45" i="1" s="1"/>
  <c r="G45" i="1"/>
  <c r="F45" i="1"/>
  <c r="E45" i="1"/>
  <c r="I45" i="1" s="1"/>
  <c r="D45" i="1"/>
  <c r="K44" i="1"/>
  <c r="L44" i="1" s="1"/>
  <c r="R44" i="1" s="1"/>
  <c r="S43" i="1"/>
  <c r="T43" i="1" s="1"/>
  <c r="U43" i="1" s="1"/>
  <c r="P45" i="1" l="1"/>
  <c r="Q45" i="1" s="1"/>
  <c r="S44" i="1"/>
  <c r="T44" i="1" s="1"/>
  <c r="U44" i="1" s="1"/>
  <c r="A47" i="1"/>
  <c r="B46" i="1"/>
  <c r="G46" i="1"/>
  <c r="C46" i="1"/>
  <c r="J46" i="1" s="1"/>
  <c r="N46" i="1"/>
  <c r="M46" i="1"/>
  <c r="O46" i="1" s="1"/>
  <c r="H46" i="1"/>
  <c r="F46" i="1"/>
  <c r="E46" i="1"/>
  <c r="I46" i="1" s="1"/>
  <c r="D46" i="1"/>
  <c r="K45" i="1"/>
  <c r="L45" i="1"/>
  <c r="R45" i="1" s="1"/>
  <c r="P46" i="1" l="1"/>
  <c r="Q46" i="1" s="1"/>
  <c r="K46" i="1"/>
  <c r="L46" i="1" s="1"/>
  <c r="R46" i="1" s="1"/>
  <c r="A48" i="1"/>
  <c r="B47" i="1"/>
  <c r="H47" i="1"/>
  <c r="N47" i="1"/>
  <c r="F47" i="1"/>
  <c r="G47" i="1"/>
  <c r="E47" i="1"/>
  <c r="D47" i="1"/>
  <c r="M47" i="1"/>
  <c r="C47" i="1"/>
  <c r="J47" i="1" s="1"/>
  <c r="S45" i="1"/>
  <c r="T45" i="1" s="1"/>
  <c r="U45" i="1" s="1"/>
  <c r="I47" i="1" l="1"/>
  <c r="O47" i="1"/>
  <c r="K47" i="1"/>
  <c r="L47" i="1" s="1"/>
  <c r="R47" i="1" s="1"/>
  <c r="H48" i="1"/>
  <c r="G48" i="1"/>
  <c r="M48" i="1"/>
  <c r="O48" i="1" s="1"/>
  <c r="E48" i="1"/>
  <c r="I48" i="1" s="1"/>
  <c r="P48" i="1" s="1"/>
  <c r="N48" i="1"/>
  <c r="F48" i="1"/>
  <c r="A49" i="1"/>
  <c r="C48" i="1"/>
  <c r="J48" i="1" s="1"/>
  <c r="B48" i="1"/>
  <c r="D48" i="1"/>
  <c r="S46" i="1"/>
  <c r="T46" i="1" s="1"/>
  <c r="U46" i="1" s="1"/>
  <c r="P47" i="1" l="1"/>
  <c r="Q47" i="1" s="1"/>
  <c r="Q48" i="1" s="1"/>
  <c r="K48" i="1"/>
  <c r="L48" i="1" s="1"/>
  <c r="R48" i="1" s="1"/>
  <c r="H49" i="1"/>
  <c r="G49" i="1"/>
  <c r="N49" i="1"/>
  <c r="F49" i="1"/>
  <c r="D49" i="1"/>
  <c r="E49" i="1"/>
  <c r="I49" i="1" s="1"/>
  <c r="C49" i="1"/>
  <c r="J49" i="1" s="1"/>
  <c r="B49" i="1"/>
  <c r="M49" i="1"/>
  <c r="A50" i="1"/>
  <c r="S47" i="1" l="1"/>
  <c r="T47" i="1" s="1"/>
  <c r="U47" i="1" s="1"/>
  <c r="G50" i="1"/>
  <c r="N50" i="1"/>
  <c r="F50" i="1"/>
  <c r="M50" i="1"/>
  <c r="O50" i="1" s="1"/>
  <c r="E50" i="1"/>
  <c r="I50" i="1" s="1"/>
  <c r="C50" i="1"/>
  <c r="J50" i="1" s="1"/>
  <c r="A51" i="1"/>
  <c r="D50" i="1"/>
  <c r="H50" i="1"/>
  <c r="B50" i="1"/>
  <c r="K49" i="1"/>
  <c r="L49" i="1" s="1"/>
  <c r="R49" i="1" s="1"/>
  <c r="S48" i="1"/>
  <c r="T48" i="1" s="1"/>
  <c r="U48" i="1" s="1"/>
  <c r="O49" i="1"/>
  <c r="P49" i="1" s="1"/>
  <c r="Q49" i="1" s="1"/>
  <c r="P50" i="1" l="1"/>
  <c r="Q50" i="1" s="1"/>
  <c r="S49" i="1"/>
  <c r="T49" i="1" s="1"/>
  <c r="U49" i="1" s="1"/>
  <c r="N51" i="1"/>
  <c r="F51" i="1"/>
  <c r="M51" i="1"/>
  <c r="O51" i="1" s="1"/>
  <c r="E51" i="1"/>
  <c r="I51" i="1" s="1"/>
  <c r="D51" i="1"/>
  <c r="B51" i="1"/>
  <c r="C51" i="1"/>
  <c r="J51" i="1" s="1"/>
  <c r="H51" i="1"/>
  <c r="G51" i="1"/>
  <c r="A52" i="1"/>
  <c r="K50" i="1"/>
  <c r="L50" i="1"/>
  <c r="R50" i="1" s="1"/>
  <c r="P51" i="1" l="1"/>
  <c r="Q51" i="1" s="1"/>
  <c r="C52" i="1"/>
  <c r="J52" i="1" s="1"/>
  <c r="G52" i="1"/>
  <c r="F52" i="1"/>
  <c r="N52" i="1"/>
  <c r="E52" i="1"/>
  <c r="I52" i="1" s="1"/>
  <c r="B52" i="1"/>
  <c r="M52" i="1"/>
  <c r="O52" i="1" s="1"/>
  <c r="D52" i="1"/>
  <c r="A53" i="1"/>
  <c r="H52" i="1"/>
  <c r="K51" i="1"/>
  <c r="L51" i="1" s="1"/>
  <c r="R51" i="1" s="1"/>
  <c r="S50" i="1"/>
  <c r="T50" i="1" s="1"/>
  <c r="U50" i="1" s="1"/>
  <c r="P52" i="1" l="1"/>
  <c r="Q52" i="1" s="1"/>
  <c r="A54" i="1"/>
  <c r="B53" i="1"/>
  <c r="H53" i="1"/>
  <c r="G53" i="1"/>
  <c r="N53" i="1"/>
  <c r="E53" i="1"/>
  <c r="I53" i="1" s="1"/>
  <c r="F53" i="1"/>
  <c r="D53" i="1"/>
  <c r="C53" i="1"/>
  <c r="J53" i="1" s="1"/>
  <c r="M53" i="1"/>
  <c r="S51" i="1"/>
  <c r="T51" i="1" s="1"/>
  <c r="U51" i="1" s="1"/>
  <c r="K52" i="1"/>
  <c r="L52" i="1"/>
  <c r="R52" i="1" s="1"/>
  <c r="S52" i="1" l="1"/>
  <c r="T52" i="1" s="1"/>
  <c r="U52" i="1" s="1"/>
  <c r="M54" i="1"/>
  <c r="O54" i="1" s="1"/>
  <c r="E54" i="1"/>
  <c r="I54" i="1" s="1"/>
  <c r="D54" i="1"/>
  <c r="A55" i="1"/>
  <c r="N54" i="1"/>
  <c r="C54" i="1"/>
  <c r="J54" i="1" s="1"/>
  <c r="B54" i="1"/>
  <c r="H54" i="1"/>
  <c r="G54" i="1"/>
  <c r="F54" i="1"/>
  <c r="O53" i="1"/>
  <c r="P53" i="1" s="1"/>
  <c r="Q53" i="1" s="1"/>
  <c r="K53" i="1"/>
  <c r="L53" i="1" s="1"/>
  <c r="R53" i="1" s="1"/>
  <c r="P54" i="1" l="1"/>
  <c r="Q54" i="1" s="1"/>
  <c r="S53" i="1"/>
  <c r="T53" i="1" s="1"/>
  <c r="U53" i="1" s="1"/>
  <c r="K54" i="1"/>
  <c r="L54" i="1" s="1"/>
  <c r="R54" i="1" s="1"/>
  <c r="H55" i="1"/>
  <c r="M55" i="1"/>
  <c r="O55" i="1" s="1"/>
  <c r="E55" i="1"/>
  <c r="I55" i="1" s="1"/>
  <c r="D55" i="1"/>
  <c r="B55" i="1"/>
  <c r="N55" i="1"/>
  <c r="A56" i="1"/>
  <c r="G55" i="1"/>
  <c r="F55" i="1"/>
  <c r="C55" i="1"/>
  <c r="J55" i="1" s="1"/>
  <c r="P55" i="1" l="1"/>
  <c r="Q55" i="1" s="1"/>
  <c r="K55" i="1"/>
  <c r="L55" i="1" s="1"/>
  <c r="R55" i="1" s="1"/>
  <c r="G56" i="1"/>
  <c r="A57" i="1"/>
  <c r="N56" i="1"/>
  <c r="F56" i="1"/>
  <c r="M56" i="1"/>
  <c r="O56" i="1" s="1"/>
  <c r="E56" i="1"/>
  <c r="I56" i="1" s="1"/>
  <c r="D56" i="1"/>
  <c r="C56" i="1"/>
  <c r="J56" i="1" s="1"/>
  <c r="H56" i="1"/>
  <c r="B56" i="1"/>
  <c r="S54" i="1"/>
  <c r="T54" i="1" s="1"/>
  <c r="U54" i="1" s="1"/>
  <c r="P56" i="1" l="1"/>
  <c r="Q56" i="1" s="1"/>
  <c r="B57" i="1"/>
  <c r="H57" i="1"/>
  <c r="G57" i="1"/>
  <c r="A58" i="1"/>
  <c r="N57" i="1"/>
  <c r="F57" i="1"/>
  <c r="E57" i="1"/>
  <c r="I57" i="1" s="1"/>
  <c r="D57" i="1"/>
  <c r="M57" i="1"/>
  <c r="C57" i="1"/>
  <c r="J57" i="1" s="1"/>
  <c r="S55" i="1"/>
  <c r="T55" i="1" s="1"/>
  <c r="U55" i="1" s="1"/>
  <c r="K56" i="1"/>
  <c r="L56" i="1" s="1"/>
  <c r="R56" i="1" s="1"/>
  <c r="M58" i="1" l="1"/>
  <c r="E58" i="1"/>
  <c r="D58" i="1"/>
  <c r="C58" i="1"/>
  <c r="J58" i="1" s="1"/>
  <c r="B58" i="1"/>
  <c r="I58" i="1"/>
  <c r="H58" i="1"/>
  <c r="G58" i="1"/>
  <c r="F58" i="1"/>
  <c r="A59" i="1"/>
  <c r="N58" i="1"/>
  <c r="S56" i="1"/>
  <c r="T56" i="1" s="1"/>
  <c r="U56" i="1" s="1"/>
  <c r="K57" i="1"/>
  <c r="L57" i="1" s="1"/>
  <c r="R57" i="1" s="1"/>
  <c r="O57" i="1"/>
  <c r="P57" i="1" s="1"/>
  <c r="Q57" i="1" s="1"/>
  <c r="S57" i="1" l="1"/>
  <c r="T57" i="1" s="1"/>
  <c r="U57" i="1" s="1"/>
  <c r="K58" i="1"/>
  <c r="L58" i="1" s="1"/>
  <c r="R58" i="1" s="1"/>
  <c r="O58" i="1"/>
  <c r="P58" i="1" s="1"/>
  <c r="Q58" i="1" s="1"/>
  <c r="H59" i="1"/>
  <c r="G59" i="1"/>
  <c r="A60" i="1"/>
  <c r="N59" i="1"/>
  <c r="F59" i="1"/>
  <c r="M59" i="1"/>
  <c r="O59" i="1" s="1"/>
  <c r="E59" i="1"/>
  <c r="I59" i="1" s="1"/>
  <c r="D59" i="1"/>
  <c r="C59" i="1"/>
  <c r="J59" i="1" s="1"/>
  <c r="B59" i="1"/>
  <c r="P59" i="1" l="1"/>
  <c r="Q59" i="1" s="1"/>
  <c r="S58" i="1"/>
  <c r="T58" i="1" s="1"/>
  <c r="U58" i="1" s="1"/>
  <c r="C60" i="1"/>
  <c r="J60" i="1" s="1"/>
  <c r="B60" i="1"/>
  <c r="H60" i="1"/>
  <c r="G60" i="1"/>
  <c r="F60" i="1"/>
  <c r="E60" i="1"/>
  <c r="D60" i="1"/>
  <c r="A61" i="1"/>
  <c r="N60" i="1"/>
  <c r="M60" i="1"/>
  <c r="O60" i="1" s="1"/>
  <c r="K59" i="1"/>
  <c r="L59" i="1" s="1"/>
  <c r="R59" i="1" s="1"/>
  <c r="I60" i="1" l="1"/>
  <c r="P60" i="1" s="1"/>
  <c r="Q60" i="1" s="1"/>
  <c r="A62" i="1"/>
  <c r="N61" i="1"/>
  <c r="F61" i="1"/>
  <c r="M61" i="1"/>
  <c r="O61" i="1" s="1"/>
  <c r="E61" i="1"/>
  <c r="I61" i="1" s="1"/>
  <c r="D61" i="1"/>
  <c r="C61" i="1"/>
  <c r="J61" i="1" s="1"/>
  <c r="B61" i="1"/>
  <c r="H61" i="1"/>
  <c r="G61" i="1"/>
  <c r="K60" i="1"/>
  <c r="L60" i="1" s="1"/>
  <c r="R60" i="1" s="1"/>
  <c r="S59" i="1"/>
  <c r="T59" i="1" s="1"/>
  <c r="U59" i="1" s="1"/>
  <c r="P61" i="1" l="1"/>
  <c r="Q61" i="1" s="1"/>
  <c r="S60" i="1"/>
  <c r="T60" i="1" s="1"/>
  <c r="U60" i="1" s="1"/>
  <c r="K61" i="1"/>
  <c r="L61" i="1" s="1"/>
  <c r="R61" i="1" s="1"/>
  <c r="H62" i="1"/>
  <c r="G62" i="1"/>
  <c r="A63" i="1"/>
  <c r="N62" i="1"/>
  <c r="F62" i="1"/>
  <c r="M62" i="1"/>
  <c r="O62" i="1" s="1"/>
  <c r="E62" i="1"/>
  <c r="I62" i="1" s="1"/>
  <c r="D62" i="1"/>
  <c r="B62" i="1"/>
  <c r="C62" i="1"/>
  <c r="J62" i="1" s="1"/>
  <c r="P62" i="1" l="1"/>
  <c r="Q62" i="1" s="1"/>
  <c r="K62" i="1"/>
  <c r="L62" i="1" s="1"/>
  <c r="R62" i="1" s="1"/>
  <c r="S61" i="1"/>
  <c r="T61" i="1" s="1"/>
  <c r="U61" i="1" s="1"/>
  <c r="D63" i="1"/>
  <c r="C63" i="1"/>
  <c r="J63" i="1" s="1"/>
  <c r="B63" i="1"/>
  <c r="H63" i="1"/>
  <c r="M63" i="1"/>
  <c r="G63" i="1"/>
  <c r="F63" i="1"/>
  <c r="A64" i="1"/>
  <c r="E63" i="1"/>
  <c r="I63" i="1" s="1"/>
  <c r="N63" i="1"/>
  <c r="K63" i="1" l="1"/>
  <c r="L63" i="1" s="1"/>
  <c r="R63" i="1" s="1"/>
  <c r="G64" i="1"/>
  <c r="A65" i="1"/>
  <c r="N64" i="1"/>
  <c r="F64" i="1"/>
  <c r="M64" i="1"/>
  <c r="O64" i="1" s="1"/>
  <c r="E64" i="1"/>
  <c r="D64" i="1"/>
  <c r="C64" i="1"/>
  <c r="J64" i="1" s="1"/>
  <c r="H64" i="1"/>
  <c r="B64" i="1"/>
  <c r="O63" i="1"/>
  <c r="P63" i="1" s="1"/>
  <c r="Q63" i="1" s="1"/>
  <c r="S62" i="1"/>
  <c r="T62" i="1" s="1"/>
  <c r="U62" i="1" s="1"/>
  <c r="I64" i="1" l="1"/>
  <c r="P64" i="1" s="1"/>
  <c r="Q64" i="1" s="1"/>
  <c r="S63" i="1"/>
  <c r="T63" i="1" s="1"/>
  <c r="U63" i="1" s="1"/>
  <c r="B65" i="1"/>
  <c r="H65" i="1"/>
  <c r="G65" i="1"/>
  <c r="A66" i="1"/>
  <c r="N65" i="1"/>
  <c r="F65" i="1"/>
  <c r="E65" i="1"/>
  <c r="I65" i="1" s="1"/>
  <c r="C65" i="1"/>
  <c r="J65" i="1" s="1"/>
  <c r="D65" i="1"/>
  <c r="M65" i="1"/>
  <c r="O65" i="1" s="1"/>
  <c r="K64" i="1"/>
  <c r="L64" i="1" s="1"/>
  <c r="R64" i="1" s="1"/>
  <c r="P65" i="1" l="1"/>
  <c r="Q65" i="1" s="1"/>
  <c r="K65" i="1"/>
  <c r="L65" i="1" s="1"/>
  <c r="R65" i="1" s="1"/>
  <c r="S64" i="1"/>
  <c r="T64" i="1" s="1"/>
  <c r="U64" i="1" s="1"/>
  <c r="M66" i="1"/>
  <c r="O66" i="1" s="1"/>
  <c r="E66" i="1"/>
  <c r="I66" i="1" s="1"/>
  <c r="D66" i="1"/>
  <c r="C66" i="1"/>
  <c r="J66" i="1" s="1"/>
  <c r="B66" i="1"/>
  <c r="N66" i="1"/>
  <c r="H66" i="1"/>
  <c r="G66" i="1"/>
  <c r="F66" i="1"/>
  <c r="A67" i="1"/>
  <c r="P66" i="1" l="1"/>
  <c r="Q66" i="1" s="1"/>
  <c r="H67" i="1"/>
  <c r="G67" i="1"/>
  <c r="A68" i="1"/>
  <c r="N67" i="1"/>
  <c r="F67" i="1"/>
  <c r="M67" i="1"/>
  <c r="O67" i="1" s="1"/>
  <c r="E67" i="1"/>
  <c r="I67" i="1" s="1"/>
  <c r="D67" i="1"/>
  <c r="B67" i="1"/>
  <c r="C67" i="1"/>
  <c r="J67" i="1" s="1"/>
  <c r="S65" i="1"/>
  <c r="T65" i="1" s="1"/>
  <c r="U65" i="1" s="1"/>
  <c r="K66" i="1"/>
  <c r="L66" i="1" s="1"/>
  <c r="R66" i="1" s="1"/>
  <c r="P67" i="1" l="1"/>
  <c r="Q67" i="1" s="1"/>
  <c r="K67" i="1"/>
  <c r="L67" i="1" s="1"/>
  <c r="R67" i="1" s="1"/>
  <c r="C68" i="1"/>
  <c r="J68" i="1" s="1"/>
  <c r="B68" i="1"/>
  <c r="H68" i="1"/>
  <c r="G68" i="1"/>
  <c r="M68" i="1"/>
  <c r="F68" i="1"/>
  <c r="A69" i="1"/>
  <c r="D68" i="1"/>
  <c r="E68" i="1"/>
  <c r="I68" i="1" s="1"/>
  <c r="N68" i="1"/>
  <c r="S66" i="1"/>
  <c r="T66" i="1" s="1"/>
  <c r="U66" i="1" s="1"/>
  <c r="S67" i="1" l="1"/>
  <c r="T67" i="1" s="1"/>
  <c r="U67" i="1" s="1"/>
  <c r="A70" i="1"/>
  <c r="N69" i="1"/>
  <c r="F69" i="1"/>
  <c r="M69" i="1"/>
  <c r="O69" i="1" s="1"/>
  <c r="E69" i="1"/>
  <c r="D69" i="1"/>
  <c r="C69" i="1"/>
  <c r="J69" i="1" s="1"/>
  <c r="B69" i="1"/>
  <c r="H69" i="1"/>
  <c r="G69" i="1"/>
  <c r="K68" i="1"/>
  <c r="L68" i="1" s="1"/>
  <c r="R68" i="1" s="1"/>
  <c r="O68" i="1"/>
  <c r="P68" i="1" s="1"/>
  <c r="Q68" i="1" s="1"/>
  <c r="I69" i="1" l="1"/>
  <c r="P69" i="1" s="1"/>
  <c r="Q69" i="1" s="1"/>
  <c r="S68" i="1"/>
  <c r="T68" i="1" s="1"/>
  <c r="U68" i="1" s="1"/>
  <c r="H70" i="1"/>
  <c r="G70" i="1"/>
  <c r="A71" i="1"/>
  <c r="N70" i="1"/>
  <c r="F70" i="1"/>
  <c r="M70" i="1"/>
  <c r="E70" i="1"/>
  <c r="I70" i="1" s="1"/>
  <c r="C70" i="1"/>
  <c r="J70" i="1" s="1"/>
  <c r="D70" i="1"/>
  <c r="B70" i="1"/>
  <c r="K69" i="1"/>
  <c r="L69" i="1" s="1"/>
  <c r="R69" i="1" s="1"/>
  <c r="K70" i="1" l="1"/>
  <c r="L70" i="1" s="1"/>
  <c r="R70" i="1" s="1"/>
  <c r="S69" i="1"/>
  <c r="T69" i="1" s="1"/>
  <c r="U69" i="1" s="1"/>
  <c r="D71" i="1"/>
  <c r="C71" i="1"/>
  <c r="J71" i="1" s="1"/>
  <c r="B71" i="1"/>
  <c r="H71" i="1"/>
  <c r="N71" i="1"/>
  <c r="M71" i="1"/>
  <c r="O71" i="1" s="1"/>
  <c r="G71" i="1"/>
  <c r="E71" i="1"/>
  <c r="I71" i="1" s="1"/>
  <c r="A72" i="1"/>
  <c r="F71" i="1"/>
  <c r="O70" i="1"/>
  <c r="P70" i="1" s="1"/>
  <c r="Q70" i="1" s="1"/>
  <c r="P71" i="1" l="1"/>
  <c r="Q71" i="1" s="1"/>
  <c r="S70" i="1"/>
  <c r="T70" i="1" s="1"/>
  <c r="U70" i="1" s="1"/>
  <c r="G72" i="1"/>
  <c r="A73" i="1"/>
  <c r="N72" i="1"/>
  <c r="F72" i="1"/>
  <c r="M72" i="1"/>
  <c r="O72" i="1" s="1"/>
  <c r="E72" i="1"/>
  <c r="I72" i="1" s="1"/>
  <c r="D72" i="1"/>
  <c r="C72" i="1"/>
  <c r="J72" i="1" s="1"/>
  <c r="B72" i="1"/>
  <c r="H72" i="1"/>
  <c r="K71" i="1"/>
  <c r="L71" i="1" s="1"/>
  <c r="R71" i="1" s="1"/>
  <c r="P72" i="1" l="1"/>
  <c r="Q72" i="1" s="1"/>
  <c r="K72" i="1"/>
  <c r="L72" i="1" s="1"/>
  <c r="R72" i="1" s="1"/>
  <c r="B73" i="1"/>
  <c r="H73" i="1"/>
  <c r="G73" i="1"/>
  <c r="A74" i="1"/>
  <c r="N73" i="1"/>
  <c r="F73" i="1"/>
  <c r="M73" i="1"/>
  <c r="O73" i="1" s="1"/>
  <c r="D73" i="1"/>
  <c r="E73" i="1"/>
  <c r="I73" i="1" s="1"/>
  <c r="C73" i="1"/>
  <c r="J73" i="1" s="1"/>
  <c r="S71" i="1"/>
  <c r="T71" i="1" s="1"/>
  <c r="U71" i="1" s="1"/>
  <c r="P73" i="1" l="1"/>
  <c r="Q73" i="1" s="1"/>
  <c r="M74" i="1"/>
  <c r="E74" i="1"/>
  <c r="D74" i="1"/>
  <c r="C74" i="1"/>
  <c r="J74" i="1" s="1"/>
  <c r="B74" i="1"/>
  <c r="I74" i="1"/>
  <c r="N74" i="1"/>
  <c r="H74" i="1"/>
  <c r="F74" i="1"/>
  <c r="G74" i="1"/>
  <c r="A75" i="1"/>
  <c r="S72" i="1"/>
  <c r="T72" i="1" s="1"/>
  <c r="U72" i="1" s="1"/>
  <c r="K73" i="1"/>
  <c r="L73" i="1" s="1"/>
  <c r="R73" i="1" s="1"/>
  <c r="K74" i="1" l="1"/>
  <c r="L74" i="1" s="1"/>
  <c r="R74" i="1" s="1"/>
  <c r="S73" i="1"/>
  <c r="T73" i="1" s="1"/>
  <c r="U73" i="1" s="1"/>
  <c r="O74" i="1"/>
  <c r="P74" i="1" s="1"/>
  <c r="Q74" i="1" s="1"/>
  <c r="H75" i="1"/>
  <c r="G75" i="1"/>
  <c r="A76" i="1"/>
  <c r="N75" i="1"/>
  <c r="F75" i="1"/>
  <c r="M75" i="1"/>
  <c r="O75" i="1" s="1"/>
  <c r="E75" i="1"/>
  <c r="I75" i="1" s="1"/>
  <c r="D75" i="1"/>
  <c r="C75" i="1"/>
  <c r="J75" i="1" s="1"/>
  <c r="B75" i="1"/>
  <c r="P75" i="1" l="1"/>
  <c r="S74" i="1"/>
  <c r="T74" i="1" s="1"/>
  <c r="U74" i="1" s="1"/>
  <c r="Q75" i="1"/>
  <c r="C76" i="1"/>
  <c r="J76" i="1" s="1"/>
  <c r="B76" i="1"/>
  <c r="H76" i="1"/>
  <c r="G76" i="1"/>
  <c r="N76" i="1"/>
  <c r="M76" i="1"/>
  <c r="O76" i="1" s="1"/>
  <c r="E76" i="1"/>
  <c r="F76" i="1"/>
  <c r="D76" i="1"/>
  <c r="A77" i="1"/>
  <c r="K75" i="1"/>
  <c r="L75" i="1" s="1"/>
  <c r="R75" i="1" s="1"/>
  <c r="I76" i="1" l="1"/>
  <c r="P76" i="1" s="1"/>
  <c r="Q76" i="1" s="1"/>
  <c r="A78" i="1"/>
  <c r="N77" i="1"/>
  <c r="F77" i="1"/>
  <c r="M77" i="1"/>
  <c r="O77" i="1" s="1"/>
  <c r="E77" i="1"/>
  <c r="I77" i="1" s="1"/>
  <c r="D77" i="1"/>
  <c r="C77" i="1"/>
  <c r="J77" i="1" s="1"/>
  <c r="B77" i="1"/>
  <c r="G77" i="1"/>
  <c r="H77" i="1"/>
  <c r="K76" i="1"/>
  <c r="L76" i="1" s="1"/>
  <c r="R76" i="1" s="1"/>
  <c r="S75" i="1"/>
  <c r="T75" i="1" s="1"/>
  <c r="U75" i="1" s="1"/>
  <c r="P77" i="1" l="1"/>
  <c r="Q77" i="1" s="1"/>
  <c r="S76" i="1"/>
  <c r="T76" i="1" s="1"/>
  <c r="U76" i="1" s="1"/>
  <c r="K77" i="1"/>
  <c r="L77" i="1" s="1"/>
  <c r="R77" i="1" s="1"/>
  <c r="H78" i="1"/>
  <c r="G78" i="1"/>
  <c r="A79" i="1"/>
  <c r="N78" i="1"/>
  <c r="F78" i="1"/>
  <c r="M78" i="1"/>
  <c r="O78" i="1" s="1"/>
  <c r="E78" i="1"/>
  <c r="I78" i="1" s="1"/>
  <c r="D78" i="1"/>
  <c r="C78" i="1"/>
  <c r="J78" i="1" s="1"/>
  <c r="B78" i="1"/>
  <c r="P78" i="1" l="1"/>
  <c r="Q78" i="1" s="1"/>
  <c r="S77" i="1"/>
  <c r="T77" i="1" s="1"/>
  <c r="U77" i="1" s="1"/>
  <c r="K78" i="1"/>
  <c r="L78" i="1" s="1"/>
  <c r="R78" i="1" s="1"/>
  <c r="D79" i="1"/>
  <c r="C79" i="1"/>
  <c r="J79" i="1" s="1"/>
  <c r="B79" i="1"/>
  <c r="H79" i="1"/>
  <c r="N79" i="1"/>
  <c r="M79" i="1"/>
  <c r="O79" i="1" s="1"/>
  <c r="F79" i="1"/>
  <c r="A80" i="1"/>
  <c r="G79" i="1"/>
  <c r="E79" i="1"/>
  <c r="I79" i="1" s="1"/>
  <c r="P79" i="1" l="1"/>
  <c r="Q79" i="1" s="1"/>
  <c r="G80" i="1"/>
  <c r="A81" i="1"/>
  <c r="N80" i="1"/>
  <c r="F80" i="1"/>
  <c r="M80" i="1"/>
  <c r="O80" i="1" s="1"/>
  <c r="E80" i="1"/>
  <c r="I80" i="1" s="1"/>
  <c r="D80" i="1"/>
  <c r="C80" i="1"/>
  <c r="J80" i="1" s="1"/>
  <c r="H80" i="1"/>
  <c r="B80" i="1"/>
  <c r="K79" i="1"/>
  <c r="L79" i="1" s="1"/>
  <c r="R79" i="1" s="1"/>
  <c r="S78" i="1"/>
  <c r="T78" i="1" s="1"/>
  <c r="U78" i="1" s="1"/>
  <c r="P80" i="1" l="1"/>
  <c r="S79" i="1"/>
  <c r="T79" i="1" s="1"/>
  <c r="U79" i="1" s="1"/>
  <c r="Q80" i="1"/>
  <c r="B81" i="1"/>
  <c r="H81" i="1"/>
  <c r="G81" i="1"/>
  <c r="A82" i="1"/>
  <c r="N81" i="1"/>
  <c r="F81" i="1"/>
  <c r="M81" i="1"/>
  <c r="O81" i="1" s="1"/>
  <c r="E81" i="1"/>
  <c r="I81" i="1" s="1"/>
  <c r="D81" i="1"/>
  <c r="C81" i="1"/>
  <c r="J81" i="1" s="1"/>
  <c r="K80" i="1"/>
  <c r="L80" i="1" s="1"/>
  <c r="R80" i="1" s="1"/>
  <c r="P81" i="1" l="1"/>
  <c r="M82" i="1"/>
  <c r="E82" i="1"/>
  <c r="D82" i="1"/>
  <c r="C82" i="1"/>
  <c r="J82" i="1" s="1"/>
  <c r="B82" i="1"/>
  <c r="I82" i="1"/>
  <c r="N82" i="1"/>
  <c r="G82" i="1"/>
  <c r="H82" i="1"/>
  <c r="F82" i="1"/>
  <c r="Y32" i="1"/>
  <c r="X35" i="1"/>
  <c r="Y47" i="1"/>
  <c r="Y40" i="1"/>
  <c r="Y26" i="1"/>
  <c r="X31" i="1"/>
  <c r="Y50" i="1"/>
  <c r="X51" i="1"/>
  <c r="X48" i="1"/>
  <c r="X20" i="1"/>
  <c r="X42" i="1"/>
  <c r="Y19" i="1"/>
  <c r="X22" i="1"/>
  <c r="Y13" i="1"/>
  <c r="Z13" i="1" s="1"/>
  <c r="AA13" i="1" s="1"/>
  <c r="X50" i="1"/>
  <c r="Z50" i="1" s="1"/>
  <c r="AA50" i="1" s="1"/>
  <c r="Y49" i="1"/>
  <c r="X41" i="1"/>
  <c r="X18" i="1"/>
  <c r="Y39" i="1"/>
  <c r="X52" i="1"/>
  <c r="K13" i="1"/>
  <c r="Y42" i="1"/>
  <c r="Y46" i="1"/>
  <c r="X39" i="1"/>
  <c r="X47" i="1"/>
  <c r="Y43" i="1"/>
  <c r="Y41" i="1"/>
  <c r="Y14" i="1"/>
  <c r="Y21" i="1"/>
  <c r="Y48" i="1"/>
  <c r="X14" i="1"/>
  <c r="Y25" i="1"/>
  <c r="K14" i="1"/>
  <c r="M14" i="1" s="1"/>
  <c r="N14" i="1" s="1"/>
  <c r="L20" i="1"/>
  <c r="Y44" i="1"/>
  <c r="Y20" i="1"/>
  <c r="X49" i="1"/>
  <c r="X44" i="1"/>
  <c r="X32" i="1"/>
  <c r="K18" i="1"/>
  <c r="Y22" i="1"/>
  <c r="X33" i="1"/>
  <c r="E7" i="1"/>
  <c r="L17" i="1"/>
  <c r="K15" i="1"/>
  <c r="X17" i="1"/>
  <c r="X25" i="1"/>
  <c r="Y23" i="1"/>
  <c r="X24" i="1"/>
  <c r="X37" i="1"/>
  <c r="K20" i="1"/>
  <c r="Y15" i="1"/>
  <c r="X19" i="1"/>
  <c r="Y29" i="1"/>
  <c r="X46" i="1"/>
  <c r="X15" i="1"/>
  <c r="Y16" i="1"/>
  <c r="Y45" i="1"/>
  <c r="X38" i="1"/>
  <c r="Y52" i="1"/>
  <c r="Y30" i="1"/>
  <c r="K16" i="1"/>
  <c r="X34" i="1"/>
  <c r="E6" i="1"/>
  <c r="X29" i="1"/>
  <c r="K19" i="1"/>
  <c r="Y36" i="1"/>
  <c r="Y51" i="1"/>
  <c r="L16" i="1"/>
  <c r="Y27" i="1"/>
  <c r="X16" i="1"/>
  <c r="L19" i="1"/>
  <c r="X23" i="1"/>
  <c r="Y31" i="1"/>
  <c r="X27" i="1"/>
  <c r="Y37" i="1"/>
  <c r="X45" i="1"/>
  <c r="Y35" i="1"/>
  <c r="X30" i="1"/>
  <c r="Y34" i="1"/>
  <c r="L15" i="1"/>
  <c r="X40" i="1"/>
  <c r="Y33" i="1"/>
  <c r="Y28" i="1"/>
  <c r="Y18" i="1"/>
  <c r="Y17" i="1"/>
  <c r="Y38" i="1"/>
  <c r="X53" i="1"/>
  <c r="X43" i="1"/>
  <c r="X36" i="1"/>
  <c r="X21" i="1"/>
  <c r="L18" i="1"/>
  <c r="X26" i="1"/>
  <c r="Y24" i="1"/>
  <c r="X28" i="1"/>
  <c r="K17" i="1"/>
  <c r="K81" i="1"/>
  <c r="L81" i="1" s="1"/>
  <c r="R81" i="1" s="1"/>
  <c r="Q81" i="1"/>
  <c r="S80" i="1"/>
  <c r="T80" i="1" s="1"/>
  <c r="U80" i="1" s="1"/>
  <c r="Z21" i="1" l="1"/>
  <c r="AA21" i="1" s="1"/>
  <c r="Z25" i="1"/>
  <c r="AA25" i="1" s="1"/>
  <c r="Z46" i="1"/>
  <c r="AA46" i="1" s="1"/>
  <c r="Z32" i="1"/>
  <c r="AA32" i="1" s="1"/>
  <c r="Z19" i="1"/>
  <c r="AA19" i="1" s="1"/>
  <c r="Z44" i="1"/>
  <c r="AA44" i="1" s="1"/>
  <c r="Z16" i="1"/>
  <c r="AA16" i="1" s="1"/>
  <c r="Z47" i="1"/>
  <c r="AA47" i="1" s="1"/>
  <c r="M17" i="1"/>
  <c r="N17" i="1" s="1"/>
  <c r="M16" i="1"/>
  <c r="N16" i="1" s="1"/>
  <c r="Z39" i="1"/>
  <c r="AA39" i="1" s="1"/>
  <c r="Z45" i="1"/>
  <c r="AA45" i="1" s="1"/>
  <c r="Z36" i="1"/>
  <c r="AA36" i="1" s="1"/>
  <c r="M20" i="1"/>
  <c r="N20" i="1" s="1"/>
  <c r="Z43" i="1"/>
  <c r="AA43" i="1" s="1"/>
  <c r="Z41" i="1"/>
  <c r="AA41" i="1" s="1"/>
  <c r="Z48" i="1"/>
  <c r="AA48" i="1" s="1"/>
  <c r="M18" i="1"/>
  <c r="N18" i="1" s="1"/>
  <c r="Z51" i="1"/>
  <c r="AA51" i="1" s="1"/>
  <c r="Z26" i="1"/>
  <c r="AA26" i="1" s="1"/>
  <c r="Z14" i="1"/>
  <c r="AA14" i="1" s="1"/>
  <c r="X54" i="1"/>
  <c r="Z27" i="1"/>
  <c r="AA27" i="1" s="1"/>
  <c r="K82" i="1"/>
  <c r="L82" i="1" s="1"/>
  <c r="R82" i="1" s="1"/>
  <c r="Z35" i="1"/>
  <c r="AA35" i="1" s="1"/>
  <c r="Z40" i="1"/>
  <c r="AA40" i="1" s="1"/>
  <c r="M19" i="1"/>
  <c r="N19" i="1" s="1"/>
  <c r="Z38" i="1"/>
  <c r="AA38" i="1" s="1"/>
  <c r="M15" i="1"/>
  <c r="N15" i="1" s="1"/>
  <c r="Z49" i="1"/>
  <c r="AA49" i="1" s="1"/>
  <c r="Z22" i="1"/>
  <c r="AA22" i="1" s="1"/>
  <c r="Z23" i="1"/>
  <c r="AA23" i="1" s="1"/>
  <c r="Z29" i="1"/>
  <c r="AA29" i="1" s="1"/>
  <c r="Z52" i="1"/>
  <c r="AA52" i="1" s="1"/>
  <c r="Z31" i="1"/>
  <c r="AA31" i="1" s="1"/>
  <c r="Z17" i="1"/>
  <c r="AA17" i="1" s="1"/>
  <c r="Z37" i="1"/>
  <c r="AA37" i="1" s="1"/>
  <c r="Z42" i="1"/>
  <c r="AA42" i="1" s="1"/>
  <c r="O82" i="1"/>
  <c r="P82" i="1" s="1"/>
  <c r="Q82" i="1" s="1"/>
  <c r="Y53" i="1"/>
  <c r="Z53" i="1" s="1"/>
  <c r="AA53" i="1" s="1"/>
  <c r="S81" i="1"/>
  <c r="Y54" i="1" s="1"/>
  <c r="Z28" i="1"/>
  <c r="AA28" i="1" s="1"/>
  <c r="Z30" i="1"/>
  <c r="AA30" i="1" s="1"/>
  <c r="Z34" i="1"/>
  <c r="AA34" i="1" s="1"/>
  <c r="Z15" i="1"/>
  <c r="AA15" i="1" s="1"/>
  <c r="Z24" i="1"/>
  <c r="AA24" i="1" s="1"/>
  <c r="Z33" i="1"/>
  <c r="AA33" i="1" s="1"/>
  <c r="Z18" i="1"/>
  <c r="AA18" i="1" s="1"/>
  <c r="Z20" i="1"/>
  <c r="AA20" i="1" s="1"/>
  <c r="S82" i="1" l="1"/>
  <c r="E9" i="1" s="1"/>
  <c r="E10" i="1" s="1"/>
  <c r="E11" i="1" s="1"/>
  <c r="E8" i="1"/>
  <c r="L13" i="1"/>
  <c r="M13" i="1" s="1"/>
  <c r="N13" i="1" s="1"/>
  <c r="Y55" i="1"/>
  <c r="T82" i="1"/>
  <c r="U82" i="1" s="1"/>
  <c r="E12" i="1" s="1"/>
  <c r="X10" i="1"/>
  <c r="Z10" i="1" s="1"/>
  <c r="AA10" i="1" s="1"/>
  <c r="K12" i="1"/>
  <c r="M12" i="1" s="1"/>
  <c r="N12" i="1" s="1"/>
  <c r="X55" i="1"/>
  <c r="Z55" i="1" s="1"/>
  <c r="AA55" i="1" s="1"/>
  <c r="Z54" i="1"/>
  <c r="AA54" i="1" s="1"/>
  <c r="T81" i="1"/>
  <c r="U81" i="1" s="1"/>
  <c r="D15" i="1" l="1"/>
</calcChain>
</file>

<file path=xl/sharedStrings.xml><?xml version="1.0" encoding="utf-8"?>
<sst xmlns="http://schemas.openxmlformats.org/spreadsheetml/2006/main" count="77" uniqueCount="71">
  <si>
    <t>Buy vs Rent – Ending Wealth Comparison</t>
  </si>
  <si>
    <t>Edit yellow cells. This model compares buyer ending wealth versus renter investment wealth and discounts both to present value using your chosen holding period.</t>
  </si>
  <si>
    <t>Break-even Preview (1-15y)</t>
  </si>
  <si>
    <t>Extended Break-even (1-50y)</t>
  </si>
  <si>
    <t>Inputs</t>
  </si>
  <si>
    <t>Decision Summary</t>
  </si>
  <si>
    <t>Years</t>
  </si>
  <si>
    <t>Buyer NPV</t>
  </si>
  <si>
    <t>Renter NPV</t>
  </si>
  <si>
    <t>Delta</t>
  </si>
  <si>
    <t>Buyer Better?</t>
  </si>
  <si>
    <t>Home purchase price</t>
  </si>
  <si>
    <t>Buyer ending wealth at horizon</t>
  </si>
  <si>
    <t>Down payment</t>
  </si>
  <si>
    <t>Buyer NPV of ending wealth</t>
  </si>
  <si>
    <t>Mortgage interest rate</t>
  </si>
  <si>
    <t>Renter ending wealth at horizon</t>
  </si>
  <si>
    <t>Mortgage term (years)</t>
  </si>
  <si>
    <t>Renter NPV of ending wealth</t>
  </si>
  <si>
    <t>NPV advantage (Buyer - Renter)</t>
  </si>
  <si>
    <t>Effective monthly mortgage payment</t>
  </si>
  <si>
    <t>Better strategy</t>
  </si>
  <si>
    <t>Annual property tax</t>
  </si>
  <si>
    <t>Break-even holding period</t>
  </si>
  <si>
    <t>Annual home insurance</t>
  </si>
  <si>
    <t>Annual HOA</t>
  </si>
  <si>
    <t>Plain-English Interpretation</t>
  </si>
  <si>
    <t>Closing costs (% of purchase price)</t>
  </si>
  <si>
    <t>Selling costs at exit (% of home value)</t>
  </si>
  <si>
    <t>Expected home appreciation</t>
  </si>
  <si>
    <t>Inflation rate for owner recurring payments</t>
  </si>
  <si>
    <t>Initial monthly rent</t>
  </si>
  <si>
    <t>Annual rent growth rate</t>
  </si>
  <si>
    <t>Annual renter insurance</t>
  </si>
  <si>
    <t>Annual ROI on invested cash</t>
  </si>
  <si>
    <t>Discount rate</t>
  </si>
  <si>
    <t>Chosen holding period (years)</t>
  </si>
  <si>
    <t>Maximum modeled horizon (years)</t>
  </si>
  <si>
    <t>Annual Schedule (0 to 50 years)</t>
  </si>
  <si>
    <t>Year</t>
  </si>
  <si>
    <t>Discount Factor</t>
  </si>
  <si>
    <t>Home Value</t>
  </si>
  <si>
    <t>Mortgage Balance</t>
  </si>
  <si>
    <t>Annual Mortgage Payments</t>
  </si>
  <si>
    <t>Property Tax</t>
  </si>
  <si>
    <t>Home Insurance</t>
  </si>
  <si>
    <t>HOA</t>
  </si>
  <si>
    <t>Total Buyer Cash Outflow</t>
  </si>
  <si>
    <t>Sale Price if Exit</t>
  </si>
  <si>
    <t>Selling Costs if Exit</t>
  </si>
  <si>
    <t>Buyer Ending Wealth if Exit</t>
  </si>
  <si>
    <t>Annual Rent</t>
  </si>
  <si>
    <t>Renter Insurance</t>
  </si>
  <si>
    <t>Total Renter Cash Outflow</t>
  </si>
  <si>
    <t>Liberated Cash Invested</t>
  </si>
  <si>
    <t>Renter Investment Account</t>
  </si>
  <si>
    <t>Buyer NPV Ending Wealth if Exit</t>
  </si>
  <si>
    <t>Renter NPV Ending Wealth if Exit</t>
  </si>
  <si>
    <t>NPV Advantage (Buyer - Renter)</t>
  </si>
  <si>
    <t>How to Use This Workbook</t>
  </si>
  <si>
    <t>1. Edit the yellow input cells on the main sheet.</t>
  </si>
  <si>
    <t>2. The model compares buyer ending wealth vs renter investment wealth at the selected year.</t>
  </si>
  <si>
    <t>3. Buyer ending wealth = sale price less selling costs and remaining mortgage.</t>
  </si>
  <si>
    <t>4. Renter wealth = invested upfront cash avoided plus yearly cash-flow differences grown at ROI.</t>
  </si>
  <si>
    <t>5. NPV uses the discount rate and selected holding period.</t>
  </si>
  <si>
    <t>6. Positive NPV advantage means buying wins; negative means rent + invest wins.</t>
  </si>
  <si>
    <t>7. Break-even holding period is the first year Buyer NPV exceeds Renter NPV.</t>
  </si>
  <si>
    <t>8. Sensitivity changes one driver at a time and keeps the others at base case.</t>
  </si>
  <si>
    <t>9. Default assumptions are placeholders only; replace them with your own inputs.</t>
  </si>
  <si>
    <t>10. No taxes, utility costs, deductions, or utilities are included.</t>
  </si>
  <si>
    <t>Other monthly payment (optional)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</si>
</sst>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;[Red]\(\$#,##0\);\-"/>
    <numFmt numFmtId="165" formatCode="0.0%"/>
    <numFmt numFmtId="166" formatCode="#,##0\ &quot;SEK&quot;"/>
  </numFmts>
  <fonts count="10">
    <font>
      <sz val="11"/>
      <name val="Carlito"/>
    </font>
    <font>
      <b/>
      <sz val="14"/>
      <color theme="0"/>
      <name val="Carlito"/>
    </font>
    <font>
      <b/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9"/>
      <color theme="0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2"/>
      </patternFill>
    </fill>
    <fill>
      <patternFill patternType="solid">
        <fgColor theme="5"/>
      </patternFill>
    </fill>
    <fill>
      <patternFill patternType="solid">
        <fgColor theme="7"/>
      </patternFill>
    </fill>
    <fill>
      <patternFill patternType="solid">
        <fgColor theme="6"/>
      </patternFill>
    </fill>
    <fill>
      <patternFill patternType="solid">
        <fgColor rgb="FFE5E7EB"/>
      </patternFill>
    </fill>
    <fill>
      <patternFill patternType="solid">
        <fgColor rgb="FFF3F4F6"/>
      </patternFill>
    </fill>
    <fill>
      <patternFill patternType="solid">
        <fgColor rgb="FFF7FBFF"/>
      </patternFill>
    </fill>
    <fill>
      <patternFill patternType="solid">
        <fgColor rgb="FFDDEBF7"/>
      </patternFill>
    </fill>
    <fill>
      <patternFill patternType="solid">
        <fgColor rgb="FFF7FAFC"/>
      </patternFill>
    </fill>
    <fill>
      <patternFill patternType="solid">
        <fgColor rgb="FFFCFCFD"/>
      </patternFill>
    </fill>
    <fill>
      <patternFill patternType="solid">
        <fgColor theme="5" tint="-9.9978637043366805E-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7ADAB"/>
        <bgColor indexed="64"/>
      </patternFill>
    </fill>
  </fills>
  <borders count="41">
    <border>
      <left/>
      <right/>
      <top/>
      <bottom/>
      <diagonal/>
    </border>
    <border>
      <left style="thin">
        <color rgb="FF1F2937"/>
      </left>
      <right/>
      <top style="thin">
        <color rgb="FF1F2937"/>
      </top>
      <bottom style="thin">
        <color rgb="FF1F2937"/>
      </bottom>
      <diagonal/>
    </border>
    <border>
      <left/>
      <right/>
      <top style="thin">
        <color rgb="FF1F2937"/>
      </top>
      <bottom style="thin">
        <color rgb="FF1F2937"/>
      </bottom>
      <diagonal/>
    </border>
    <border>
      <left/>
      <right style="thin">
        <color rgb="FF1F2937"/>
      </right>
      <top style="thin">
        <color rgb="FF1F2937"/>
      </top>
      <bottom style="thin">
        <color rgb="FF1F2937"/>
      </bottom>
      <diagonal/>
    </border>
    <border>
      <left style="thin">
        <color rgb="FFD1D5DB"/>
      </left>
      <right/>
      <top style="thin">
        <color rgb="FFD1D5DB"/>
      </top>
      <bottom style="thin">
        <color rgb="FFD1D5DB"/>
      </bottom>
      <diagonal/>
    </border>
    <border>
      <left/>
      <right/>
      <top style="thin">
        <color rgb="FFD1D5DB"/>
      </top>
      <bottom style="thin">
        <color rgb="FFD1D5DB"/>
      </bottom>
      <diagonal/>
    </border>
    <border>
      <left/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9CA3AF"/>
      </left>
      <right/>
      <top style="thin">
        <color rgb="FF9CA3AF"/>
      </top>
      <bottom style="thin">
        <color rgb="FF9CA3AF"/>
      </bottom>
      <diagonal/>
    </border>
    <border>
      <left/>
      <right style="thin">
        <color rgb="FF9CA3AF"/>
      </right>
      <top style="thin">
        <color rgb="FF9CA3AF"/>
      </top>
      <bottom style="thin">
        <color rgb="FF9CA3AF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/>
      <diagonal/>
    </border>
    <border>
      <left style="thin">
        <color rgb="FFD1D5DB"/>
      </left>
      <right style="thin">
        <color rgb="FFD1D5DB"/>
      </right>
      <top/>
      <bottom/>
      <diagonal/>
    </border>
    <border>
      <left style="thin">
        <color rgb="FFD1D5DB"/>
      </left>
      <right style="thin">
        <color rgb="FFD1D5DB"/>
      </right>
      <top/>
      <bottom style="thin">
        <color rgb="FFD1D5DB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/>
      <right/>
      <top style="thin">
        <color rgb="FF9CA3AF"/>
      </top>
      <bottom style="thin">
        <color rgb="FF9CA3AF"/>
      </bottom>
      <diagonal/>
    </border>
    <border>
      <left style="thin">
        <color rgb="FF9CA3AF"/>
      </left>
      <right/>
      <top style="thin">
        <color rgb="FF9CA3AF"/>
      </top>
      <bottom/>
      <diagonal/>
    </border>
    <border>
      <left/>
      <right/>
      <top style="thin">
        <color rgb="FF9CA3AF"/>
      </top>
      <bottom/>
      <diagonal/>
    </border>
    <border>
      <left/>
      <right style="thin">
        <color rgb="FF9CA3AF"/>
      </right>
      <top style="thin">
        <color rgb="FF9CA3AF"/>
      </top>
      <bottom/>
      <diagonal/>
    </border>
    <border>
      <left style="thin">
        <color rgb="FF9CA3AF"/>
      </left>
      <right/>
      <top/>
      <bottom/>
      <diagonal/>
    </border>
    <border>
      <left/>
      <right style="thin">
        <color rgb="FF9CA3AF"/>
      </right>
      <top/>
      <bottom/>
      <diagonal/>
    </border>
    <border>
      <left style="thin">
        <color rgb="FF9CA3AF"/>
      </left>
      <right/>
      <top/>
      <bottom style="thin">
        <color rgb="FF9CA3AF"/>
      </bottom>
      <diagonal/>
    </border>
    <border>
      <left/>
      <right/>
      <top/>
      <bottom style="thin">
        <color rgb="FF9CA3AF"/>
      </bottom>
      <diagonal/>
    </border>
    <border>
      <left/>
      <right style="thin">
        <color rgb="FF9CA3AF"/>
      </right>
      <top/>
      <bottom style="thin">
        <color rgb="FF9CA3AF"/>
      </bottom>
      <diagonal/>
    </border>
    <border>
      <left style="thin">
        <color rgb="FFD1D5DB"/>
      </left>
      <right/>
      <top style="thin">
        <color rgb="FFD1D5DB"/>
      </top>
      <bottom/>
      <diagonal/>
    </border>
    <border>
      <left/>
      <right/>
      <top style="thin">
        <color rgb="FFD1D5DB"/>
      </top>
      <bottom/>
      <diagonal/>
    </border>
    <border>
      <left/>
      <right style="thin">
        <color rgb="FFD1D5DB"/>
      </right>
      <top style="thin">
        <color rgb="FFD1D5DB"/>
      </top>
      <bottom/>
      <diagonal/>
    </border>
    <border>
      <left style="thin">
        <color rgb="FFD1D5DB"/>
      </left>
      <right/>
      <top/>
      <bottom/>
      <diagonal/>
    </border>
    <border>
      <left/>
      <right style="thin">
        <color rgb="FFD1D5DB"/>
      </right>
      <top/>
      <bottom/>
      <diagonal/>
    </border>
    <border>
      <left style="thin">
        <color rgb="FFD1D5DB"/>
      </left>
      <right/>
      <top/>
      <bottom style="thin">
        <color rgb="FFD1D5DB"/>
      </bottom>
      <diagonal/>
    </border>
    <border>
      <left/>
      <right/>
      <top/>
      <bottom style="thin">
        <color rgb="FFD1D5DB"/>
      </bottom>
      <diagonal/>
    </border>
    <border>
      <left/>
      <right style="thin">
        <color rgb="FFD1D5DB"/>
      </right>
      <top/>
      <bottom style="thin">
        <color rgb="FFD1D5DB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/>
      <diagonal/>
    </border>
    <border>
      <left style="thin">
        <color rgb="FF9CA3AF"/>
      </left>
      <right style="thin">
        <color rgb="FF9CA3AF"/>
      </right>
      <top/>
      <bottom/>
      <diagonal/>
    </border>
    <border>
      <left style="thin">
        <color rgb="FF9CA3AF"/>
      </left>
      <right style="thin">
        <color rgb="FF9CA3AF"/>
      </right>
      <top/>
      <bottom style="thin">
        <color rgb="FF9CA3AF"/>
      </bottom>
      <diagonal/>
    </border>
    <border>
      <left style="thin">
        <color rgb="FFE5E7EB"/>
      </left>
      <right/>
      <top style="thin">
        <color rgb="FFE5E7EB"/>
      </top>
      <bottom/>
      <diagonal/>
    </border>
    <border>
      <left/>
      <right/>
      <top style="thin">
        <color rgb="FFE5E7EB"/>
      </top>
      <bottom/>
      <diagonal/>
    </border>
    <border>
      <left/>
      <right style="thin">
        <color rgb="FFE5E7EB"/>
      </right>
      <top style="thin">
        <color rgb="FFE5E7EB"/>
      </top>
      <bottom/>
      <diagonal/>
    </border>
    <border>
      <left style="thin">
        <color rgb="FFE5E7EB"/>
      </left>
      <right/>
      <top/>
      <bottom/>
      <diagonal/>
    </border>
    <border>
      <left/>
      <right style="thin">
        <color rgb="FFE5E7EB"/>
      </right>
      <top/>
      <bottom/>
      <diagonal/>
    </border>
    <border>
      <left style="thin">
        <color rgb="FFE5E7EB"/>
      </left>
      <right/>
      <top/>
      <bottom style="thin">
        <color rgb="FFE5E7EB"/>
      </bottom>
      <diagonal/>
    </border>
    <border>
      <left/>
      <right/>
      <top/>
      <bottom style="thin">
        <color rgb="FFE5E7EB"/>
      </bottom>
      <diagonal/>
    </border>
    <border>
      <left/>
      <right style="thin">
        <color rgb="FFE5E7EB"/>
      </right>
      <top/>
      <bottom style="thin">
        <color rgb="FFE5E7EB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0" fillId="0" borderId="9" xfId="0" applyBorder="1" applyAlignment="1">
      <alignment wrapText="1"/>
    </xf>
    <xf numFmtId="0" fontId="0" fillId="0" borderId="10" xfId="0" applyBorder="1" applyAlignment="1">
      <alignment wrapText="1"/>
    </xf>
    <xf numFmtId="0" fontId="0" fillId="0" borderId="11" xfId="0" applyBorder="1" applyAlignment="1">
      <alignment wrapText="1"/>
    </xf>
    <xf numFmtId="0" fontId="4" fillId="0" borderId="0" xfId="0" applyFont="1"/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7" fillId="3" borderId="9" xfId="0" applyFont="1" applyFill="1" applyBorder="1"/>
    <xf numFmtId="1" fontId="4" fillId="6" borderId="9" xfId="0" applyNumberFormat="1" applyFont="1" applyFill="1" applyBorder="1"/>
    <xf numFmtId="164" fontId="4" fillId="9" borderId="22" xfId="0" applyNumberFormat="1" applyFont="1" applyFill="1" applyBorder="1"/>
    <xf numFmtId="164" fontId="4" fillId="9" borderId="23" xfId="0" applyNumberFormat="1" applyFont="1" applyFill="1" applyBorder="1"/>
    <xf numFmtId="0" fontId="4" fillId="9" borderId="24" xfId="0" applyFont="1" applyFill="1" applyBorder="1"/>
    <xf numFmtId="0" fontId="7" fillId="3" borderId="10" xfId="0" applyFont="1" applyFill="1" applyBorder="1"/>
    <xf numFmtId="1" fontId="4" fillId="6" borderId="10" xfId="0" applyNumberFormat="1" applyFont="1" applyFill="1" applyBorder="1"/>
    <xf numFmtId="164" fontId="4" fillId="9" borderId="25" xfId="0" applyNumberFormat="1" applyFont="1" applyFill="1" applyBorder="1"/>
    <xf numFmtId="164" fontId="4" fillId="9" borderId="0" xfId="0" applyNumberFormat="1" applyFont="1" applyFill="1"/>
    <xf numFmtId="0" fontId="4" fillId="9" borderId="26" xfId="0" applyFont="1" applyFill="1" applyBorder="1"/>
    <xf numFmtId="0" fontId="8" fillId="10" borderId="31" xfId="0" applyFont="1" applyFill="1" applyBorder="1"/>
    <xf numFmtId="0" fontId="7" fillId="3" borderId="11" xfId="0" applyFont="1" applyFill="1" applyBorder="1"/>
    <xf numFmtId="1" fontId="8" fillId="10" borderId="32" xfId="0" applyNumberFormat="1" applyFont="1" applyFill="1" applyBorder="1"/>
    <xf numFmtId="1" fontId="4" fillId="6" borderId="11" xfId="0" applyNumberFormat="1" applyFont="1" applyFill="1" applyBorder="1"/>
    <xf numFmtId="164" fontId="4" fillId="9" borderId="27" xfId="0" applyNumberFormat="1" applyFont="1" applyFill="1" applyBorder="1"/>
    <xf numFmtId="164" fontId="4" fillId="9" borderId="28" xfId="0" applyNumberFormat="1" applyFont="1" applyFill="1" applyBorder="1"/>
    <xf numFmtId="0" fontId="4" fillId="9" borderId="29" xfId="0" applyFont="1" applyFill="1" applyBorder="1"/>
    <xf numFmtId="0" fontId="9" fillId="2" borderId="4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 wrapText="1"/>
    </xf>
    <xf numFmtId="1" fontId="4" fillId="11" borderId="33" xfId="0" applyNumberFormat="1" applyFont="1" applyFill="1" applyBorder="1"/>
    <xf numFmtId="165" fontId="4" fillId="12" borderId="34" xfId="0" applyNumberFormat="1" applyFont="1" applyFill="1" applyBorder="1"/>
    <xf numFmtId="0" fontId="4" fillId="12" borderId="35" xfId="0" applyFont="1" applyFill="1" applyBorder="1"/>
    <xf numFmtId="1" fontId="4" fillId="11" borderId="36" xfId="0" applyNumberFormat="1" applyFont="1" applyFill="1" applyBorder="1"/>
    <xf numFmtId="165" fontId="4" fillId="12" borderId="0" xfId="0" applyNumberFormat="1" applyFont="1" applyFill="1"/>
    <xf numFmtId="0" fontId="4" fillId="12" borderId="37" xfId="0" applyFont="1" applyFill="1" applyBorder="1"/>
    <xf numFmtId="1" fontId="4" fillId="11" borderId="38" xfId="0" applyNumberFormat="1" applyFont="1" applyFill="1" applyBorder="1"/>
    <xf numFmtId="165" fontId="4" fillId="12" borderId="39" xfId="0" applyNumberFormat="1" applyFont="1" applyFill="1" applyBorder="1"/>
    <xf numFmtId="0" fontId="4" fillId="12" borderId="40" xfId="0" applyFont="1" applyFill="1" applyBorder="1"/>
    <xf numFmtId="0" fontId="7" fillId="13" borderId="9" xfId="0" applyFont="1" applyFill="1" applyBorder="1"/>
    <xf numFmtId="0" fontId="7" fillId="13" borderId="10" xfId="0" applyFont="1" applyFill="1" applyBorder="1"/>
    <xf numFmtId="0" fontId="7" fillId="14" borderId="10" xfId="0" applyFont="1" applyFill="1" applyBorder="1"/>
    <xf numFmtId="166" fontId="4" fillId="12" borderId="34" xfId="0" applyNumberFormat="1" applyFont="1" applyFill="1" applyBorder="1"/>
    <xf numFmtId="166" fontId="4" fillId="12" borderId="0" xfId="0" applyNumberFormat="1" applyFont="1" applyFill="1"/>
    <xf numFmtId="166" fontId="4" fillId="12" borderId="39" xfId="0" applyNumberFormat="1" applyFont="1" applyFill="1" applyBorder="1"/>
    <xf numFmtId="166" fontId="8" fillId="10" borderId="30" xfId="0" applyNumberFormat="1" applyFont="1" applyFill="1" applyBorder="1"/>
    <xf numFmtId="166" fontId="8" fillId="10" borderId="31" xfId="0" applyNumberFormat="1" applyFont="1" applyFill="1" applyBorder="1"/>
    <xf numFmtId="0" fontId="7" fillId="15" borderId="10" xfId="0" applyFont="1" applyFill="1" applyBorder="1"/>
    <xf numFmtId="0" fontId="7" fillId="15" borderId="11" xfId="0" applyFont="1" applyFill="1" applyBorder="1"/>
    <xf numFmtId="165" fontId="4" fillId="0" borderId="0" xfId="0" applyNumberFormat="1" applyFont="1" applyAlignment="1">
      <alignment wrapText="1"/>
    </xf>
    <xf numFmtId="164" fontId="4" fillId="0" borderId="0" xfId="0" applyNumberFormat="1" applyFont="1" applyAlignment="1">
      <alignment wrapText="1"/>
    </xf>
    <xf numFmtId="1" fontId="4" fillId="0" borderId="0" xfId="0" applyNumberFormat="1" applyFont="1" applyAlignment="1">
      <alignment wrapText="1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wrapText="1"/>
    </xf>
    <xf numFmtId="166" fontId="4" fillId="9" borderId="22" xfId="0" applyNumberFormat="1" applyFont="1" applyFill="1" applyBorder="1"/>
    <xf numFmtId="166" fontId="4" fillId="9" borderId="23" xfId="0" applyNumberFormat="1" applyFont="1" applyFill="1" applyBorder="1"/>
    <xf numFmtId="166" fontId="4" fillId="9" borderId="25" xfId="0" applyNumberFormat="1" applyFont="1" applyFill="1" applyBorder="1"/>
    <xf numFmtId="166" fontId="4" fillId="9" borderId="0" xfId="0" applyNumberFormat="1" applyFont="1" applyFill="1"/>
    <xf numFmtId="166" fontId="4" fillId="9" borderId="27" xfId="0" applyNumberFormat="1" applyFont="1" applyFill="1" applyBorder="1"/>
    <xf numFmtId="166" fontId="4" fillId="9" borderId="28" xfId="0" applyNumberFormat="1" applyFont="1" applyFill="1" applyBorder="1"/>
    <xf numFmtId="166" fontId="4" fillId="5" borderId="9" xfId="0" applyNumberFormat="1" applyFont="1" applyFill="1" applyBorder="1" applyAlignment="1">
      <alignment horizontal="right"/>
    </xf>
    <xf numFmtId="166" fontId="4" fillId="5" borderId="10" xfId="0" applyNumberFormat="1" applyFont="1" applyFill="1" applyBorder="1" applyAlignment="1">
      <alignment horizontal="right"/>
    </xf>
    <xf numFmtId="165" fontId="4" fillId="5" borderId="10" xfId="0" applyNumberFormat="1" applyFont="1" applyFill="1" applyBorder="1" applyAlignment="1">
      <alignment horizontal="right"/>
    </xf>
    <xf numFmtId="1" fontId="4" fillId="5" borderId="10" xfId="0" applyNumberFormat="1" applyFont="1" applyFill="1" applyBorder="1" applyAlignment="1">
      <alignment horizontal="right"/>
    </xf>
    <xf numFmtId="166" fontId="6" fillId="6" borderId="12" xfId="0" applyNumberFormat="1" applyFont="1" applyFill="1" applyBorder="1" applyAlignment="1">
      <alignment horizontal="right"/>
    </xf>
    <xf numFmtId="1" fontId="6" fillId="7" borderId="12" xfId="0" applyNumberFormat="1" applyFont="1" applyFill="1" applyBorder="1" applyAlignment="1">
      <alignment horizontal="right"/>
    </xf>
    <xf numFmtId="0" fontId="4" fillId="8" borderId="14" xfId="0" applyFont="1" applyFill="1" applyBorder="1" applyAlignment="1">
      <alignment vertical="top" wrapText="1"/>
    </xf>
    <xf numFmtId="0" fontId="4" fillId="8" borderId="15" xfId="0" applyFont="1" applyFill="1" applyBorder="1" applyAlignment="1">
      <alignment vertical="top" wrapText="1"/>
    </xf>
    <xf numFmtId="0" fontId="4" fillId="8" borderId="16" xfId="0" applyFont="1" applyFill="1" applyBorder="1" applyAlignment="1">
      <alignment vertical="top" wrapText="1"/>
    </xf>
    <xf numFmtId="0" fontId="4" fillId="8" borderId="17" xfId="0" applyFont="1" applyFill="1" applyBorder="1" applyAlignment="1">
      <alignment vertical="top" wrapText="1"/>
    </xf>
    <xf numFmtId="0" fontId="4" fillId="8" borderId="0" xfId="0" applyFont="1" applyFill="1" applyAlignment="1">
      <alignment vertical="top" wrapText="1"/>
    </xf>
    <xf numFmtId="0" fontId="4" fillId="8" borderId="18" xfId="0" applyFont="1" applyFill="1" applyBorder="1" applyAlignment="1">
      <alignment vertical="top" wrapText="1"/>
    </xf>
    <xf numFmtId="0" fontId="4" fillId="8" borderId="19" xfId="0" applyFont="1" applyFill="1" applyBorder="1" applyAlignment="1">
      <alignment vertical="top" wrapText="1"/>
    </xf>
    <xf numFmtId="0" fontId="4" fillId="8" borderId="20" xfId="0" applyFont="1" applyFill="1" applyBorder="1" applyAlignment="1">
      <alignment vertical="top" wrapText="1"/>
    </xf>
    <xf numFmtId="0" fontId="4" fillId="8" borderId="21" xfId="0" applyFont="1" applyFill="1" applyBorder="1" applyAlignment="1">
      <alignment vertical="top" wrapText="1"/>
    </xf>
    <xf numFmtId="0" fontId="6" fillId="4" borderId="7" xfId="0" applyFont="1" applyFill="1" applyBorder="1"/>
    <xf numFmtId="0" fontId="6" fillId="4" borderId="13" xfId="0" applyFont="1" applyFill="1" applyBorder="1"/>
    <xf numFmtId="0" fontId="6" fillId="4" borderId="8" xfId="0" applyFont="1" applyFill="1" applyBorder="1"/>
    <xf numFmtId="0" fontId="6" fillId="0" borderId="0" xfId="0" applyFont="1"/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vertical="center" wrapText="1"/>
    </xf>
    <xf numFmtId="0" fontId="5" fillId="3" borderId="5" xfId="0" applyFont="1" applyFill="1" applyBorder="1" applyAlignment="1">
      <alignment vertical="center" wrapText="1"/>
    </xf>
    <xf numFmtId="0" fontId="5" fillId="3" borderId="6" xfId="0" applyFont="1" applyFill="1" applyBorder="1" applyAlignment="1">
      <alignment vertical="center" wrapText="1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4">
    <dxf>
      <fill>
        <patternFill patternType="solid">
          <bgColor rgb="FFFCE4D6"/>
        </patternFill>
      </fill>
    </dxf>
    <dxf>
      <fill>
        <patternFill patternType="solid">
          <bgColor rgb="FFE2F0D9"/>
        </patternFill>
      </fill>
    </dxf>
    <dxf>
      <font>
        <b/>
      </font>
      <fill>
        <patternFill patternType="solid">
          <bgColor rgb="FFF4CCCC"/>
        </patternFill>
      </fill>
    </dxf>
    <dxf>
      <font>
        <b/>
      </font>
      <fill>
        <patternFill patternType="solid">
          <bgColor rgb="FFD9EAD3"/>
        </patternFill>
      </fill>
    </dxf>
  </dxfs>
  <tableStyles count="0" defaultTableStyle="TableStyleMedium2" defaultPivotStyle="PivotStyleLight16"/>
  <colors>
    <mruColors>
      <color rgb="FFF7ADAB"/>
      <color rgb="FFF5959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FinancialModel">
  <a:themeElements>
    <a:clrScheme name="FinancialModel">
      <a:dk1>
        <a:srgbClr val="111827"/>
      </a:dk1>
      <a:lt1>
        <a:srgbClr val="FFFFFF"/>
      </a:lt1>
      <a:dk2>
        <a:srgbClr val="0E2841"/>
      </a:dk2>
      <a:lt2>
        <a:srgbClr val="F3F4F6"/>
      </a:lt2>
      <a:accent1>
        <a:srgbClr val="1F4E78"/>
      </a:accent1>
      <a:accent2>
        <a:srgbClr val="D9E2F3"/>
      </a:accent2>
      <a:accent3>
        <a:srgbClr val="E2F0D9"/>
      </a:accent3>
      <a:accent4>
        <a:srgbClr val="FFF2CC"/>
      </a:accent4>
      <a:accent5>
        <a:srgbClr val="A02B93"/>
      </a:accent5>
      <a:accent6>
        <a:srgbClr val="4EA72E"/>
      </a:accent6>
      <a:hlink>
        <a:srgbClr val="2563EB"/>
      </a:hlink>
      <a:folHlink>
        <a:srgbClr val="7C3AE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FinancialModel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82"/>
  <sheetViews>
    <sheetView tabSelected="1" workbookViewId="0">
      <selection activeCell="F22" sqref="F22"/>
    </sheetView>
  </sheetViews>
  <sheetFormatPr defaultRowHeight="14.3"/>
  <cols>
    <col min="1" max="1" width="31.109375" style="4" bestFit="1" customWidth="1"/>
    <col min="2" max="2" width="14" style="4" customWidth="1"/>
    <col min="3" max="3" width="12" style="4" customWidth="1"/>
    <col min="4" max="4" width="26" style="4" customWidth="1"/>
    <col min="5" max="5" width="20.6640625" style="4" bestFit="1" customWidth="1"/>
    <col min="6" max="8" width="14" style="4" customWidth="1"/>
    <col min="9" max="10" width="18" style="4" customWidth="1"/>
    <col min="11" max="13" width="15" style="4" customWidth="1"/>
    <col min="14" max="15" width="14" style="4" customWidth="1"/>
    <col min="16" max="16" width="16" style="4" customWidth="1"/>
    <col min="17" max="20" width="18" style="4" customWidth="1"/>
    <col min="21" max="21" width="12" style="4" customWidth="1"/>
    <col min="22" max="22" width="4" style="4" customWidth="1"/>
    <col min="23" max="23" width="10" style="4" customWidth="1"/>
    <col min="24" max="26" width="15" style="4" customWidth="1"/>
    <col min="27" max="27" width="12" style="4" customWidth="1"/>
    <col min="28" max="16384" width="8.88671875" style="4"/>
  </cols>
  <sheetData>
    <row r="1" spans="1:27" ht="21.75" customHeight="1">
      <c r="A1" s="77" t="s">
        <v>0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  <c r="S1" s="78"/>
      <c r="T1" s="78"/>
      <c r="U1" s="78"/>
      <c r="V1" s="78"/>
      <c r="W1" s="78"/>
      <c r="X1" s="78"/>
      <c r="Y1" s="78"/>
      <c r="Z1" s="78"/>
      <c r="AA1" s="79"/>
    </row>
    <row r="2" spans="1:27" ht="19.899999999999999" customHeight="1">
      <c r="A2" s="80" t="s">
        <v>1</v>
      </c>
      <c r="B2" s="81"/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  <c r="V2" s="81"/>
      <c r="W2" s="81"/>
      <c r="X2" s="81"/>
      <c r="Y2" s="81"/>
      <c r="Z2" s="81"/>
      <c r="AA2" s="82"/>
    </row>
    <row r="4" spans="1:27">
      <c r="J4" s="73" t="s">
        <v>2</v>
      </c>
      <c r="K4" s="74"/>
      <c r="L4" s="74"/>
      <c r="M4" s="74"/>
      <c r="N4" s="75"/>
      <c r="W4" s="73" t="s">
        <v>3</v>
      </c>
      <c r="X4" s="74"/>
      <c r="Y4" s="74"/>
      <c r="Z4" s="74"/>
      <c r="AA4" s="75"/>
    </row>
    <row r="5" spans="1:27">
      <c r="A5" s="73" t="s">
        <v>4</v>
      </c>
      <c r="B5" s="75"/>
      <c r="D5" s="73" t="s">
        <v>5</v>
      </c>
      <c r="E5" s="75"/>
      <c r="J5" s="5" t="s">
        <v>6</v>
      </c>
      <c r="K5" s="6" t="s">
        <v>7</v>
      </c>
      <c r="L5" s="6" t="s">
        <v>8</v>
      </c>
      <c r="M5" s="6" t="s">
        <v>9</v>
      </c>
      <c r="N5" s="7" t="s">
        <v>10</v>
      </c>
      <c r="W5" s="5" t="s">
        <v>6</v>
      </c>
      <c r="X5" s="6" t="s">
        <v>7</v>
      </c>
      <c r="Y5" s="6" t="s">
        <v>8</v>
      </c>
      <c r="Z5" s="6" t="s">
        <v>9</v>
      </c>
      <c r="AA5" s="7" t="s">
        <v>10</v>
      </c>
    </row>
    <row r="6" spans="1:27">
      <c r="A6" s="37" t="s">
        <v>11</v>
      </c>
      <c r="B6" s="58">
        <v>800000</v>
      </c>
      <c r="D6" s="8" t="s">
        <v>12</v>
      </c>
      <c r="E6" s="43">
        <f>INDEX($L$32:$L$82,MATCH($B$24,$A$32:$A$82,0))</f>
        <v>1883555.6776431755</v>
      </c>
      <c r="J6" s="9">
        <v>1</v>
      </c>
      <c r="K6" s="52">
        <f t="shared" ref="K6:K20" si="0">INDEX($R$32:$R$82,MATCH(J6,$A$32:$A$82,0))</f>
        <v>291443.28315815126</v>
      </c>
      <c r="L6" s="53">
        <f t="shared" ref="L6:L20" si="1">INDEX($S$32:$S$82,MATCH(J6,$A$32:$A$82,0))</f>
        <v>326349.84769601916</v>
      </c>
      <c r="M6" s="53">
        <f t="shared" ref="M6:M20" si="2">K6-L6</f>
        <v>-34906.564537867904</v>
      </c>
      <c r="N6" s="12">
        <f t="shared" ref="N6:N20" si="3">IF(M6&gt;0,1,0)</f>
        <v>0</v>
      </c>
      <c r="W6" s="9">
        <v>1</v>
      </c>
      <c r="X6" s="10">
        <f t="shared" ref="X6:X37" si="4">INDEX($R$32:$R$82,MATCH(W6,$A$32:$A$82,0))</f>
        <v>291443.28315815126</v>
      </c>
      <c r="Y6" s="11">
        <f t="shared" ref="Y6:Y37" si="5">INDEX($S$32:$S$82,MATCH(W6,$A$32:$A$82,0))</f>
        <v>326349.84769601916</v>
      </c>
      <c r="Z6" s="11">
        <f t="shared" ref="Z6:Z37" si="6">X6-Y6</f>
        <v>-34906.564537867904</v>
      </c>
      <c r="AA6" s="12">
        <f t="shared" ref="AA6:AA37" si="7">IF(Z6&gt;0,1,0)</f>
        <v>0</v>
      </c>
    </row>
    <row r="7" spans="1:27">
      <c r="A7" s="38" t="s">
        <v>13</v>
      </c>
      <c r="B7" s="59">
        <v>300000</v>
      </c>
      <c r="D7" s="13" t="s">
        <v>14</v>
      </c>
      <c r="E7" s="44">
        <f>INDEX($R$32:$R$82,MATCH($B$24,$A$32:$A$82,0))</f>
        <v>435812.30709433393</v>
      </c>
      <c r="J7" s="14">
        <v>2</v>
      </c>
      <c r="K7" s="54">
        <f t="shared" si="0"/>
        <v>305768.00617138867</v>
      </c>
      <c r="L7" s="55">
        <f t="shared" si="1"/>
        <v>331831.19634222018</v>
      </c>
      <c r="M7" s="55">
        <f t="shared" si="2"/>
        <v>-26063.190170831513</v>
      </c>
      <c r="N7" s="17">
        <f t="shared" si="3"/>
        <v>0</v>
      </c>
      <c r="W7" s="14">
        <v>2</v>
      </c>
      <c r="X7" s="15">
        <f t="shared" si="4"/>
        <v>305768.00617138867</v>
      </c>
      <c r="Y7" s="16">
        <f t="shared" si="5"/>
        <v>331831.19634222018</v>
      </c>
      <c r="Z7" s="16">
        <f t="shared" si="6"/>
        <v>-26063.190170831513</v>
      </c>
      <c r="AA7" s="17">
        <f t="shared" si="7"/>
        <v>0</v>
      </c>
    </row>
    <row r="8" spans="1:27">
      <c r="A8" s="38" t="s">
        <v>15</v>
      </c>
      <c r="B8" s="60">
        <v>5.5E-2</v>
      </c>
      <c r="D8" s="13" t="s">
        <v>16</v>
      </c>
      <c r="E8" s="44">
        <f>INDEX($Q$32:$Q$82,MATCH($B$24,$A$32:$A$82,0))</f>
        <v>1180574.87335639</v>
      </c>
      <c r="J8" s="14">
        <v>3</v>
      </c>
      <c r="K8" s="54">
        <f t="shared" si="0"/>
        <v>319035.71676889894</v>
      </c>
      <c r="L8" s="55">
        <f t="shared" si="1"/>
        <v>336491.66969081416</v>
      </c>
      <c r="M8" s="55">
        <f t="shared" si="2"/>
        <v>-17455.952921915217</v>
      </c>
      <c r="N8" s="17">
        <f t="shared" si="3"/>
        <v>0</v>
      </c>
      <c r="W8" s="14">
        <v>3</v>
      </c>
      <c r="X8" s="15">
        <f t="shared" si="4"/>
        <v>319035.71676889894</v>
      </c>
      <c r="Y8" s="16">
        <f t="shared" si="5"/>
        <v>336491.66969081416</v>
      </c>
      <c r="Z8" s="16">
        <f t="shared" si="6"/>
        <v>-17455.952921915217</v>
      </c>
      <c r="AA8" s="17">
        <f t="shared" si="7"/>
        <v>0</v>
      </c>
    </row>
    <row r="9" spans="1:27">
      <c r="A9" s="38" t="s">
        <v>17</v>
      </c>
      <c r="B9" s="61">
        <v>30</v>
      </c>
      <c r="D9" s="13" t="s">
        <v>18</v>
      </c>
      <c r="E9" s="44">
        <f>INDEX($S$32:$S$82,MATCH($B$24,$A$32:$A$82,0))</f>
        <v>273158.40214441437</v>
      </c>
      <c r="J9" s="14">
        <v>4</v>
      </c>
      <c r="K9" s="54">
        <f t="shared" si="0"/>
        <v>331304.88007348205</v>
      </c>
      <c r="L9" s="55">
        <f t="shared" si="1"/>
        <v>340376.45557804167</v>
      </c>
      <c r="M9" s="55">
        <f t="shared" si="2"/>
        <v>-9071.5755045596161</v>
      </c>
      <c r="N9" s="17">
        <f t="shared" si="3"/>
        <v>0</v>
      </c>
      <c r="W9" s="14">
        <v>4</v>
      </c>
      <c r="X9" s="15">
        <f t="shared" si="4"/>
        <v>331304.88007348205</v>
      </c>
      <c r="Y9" s="16">
        <f t="shared" si="5"/>
        <v>340376.45557804167</v>
      </c>
      <c r="Z9" s="16">
        <f t="shared" si="6"/>
        <v>-9071.5755045596161</v>
      </c>
      <c r="AA9" s="17">
        <f t="shared" si="7"/>
        <v>0</v>
      </c>
    </row>
    <row r="10" spans="1:27">
      <c r="A10" s="38" t="s">
        <v>70</v>
      </c>
      <c r="B10" s="59"/>
      <c r="D10" s="13" t="s">
        <v>19</v>
      </c>
      <c r="E10" s="44">
        <f>E7-E9</f>
        <v>162653.90494991955</v>
      </c>
      <c r="J10" s="14">
        <v>5</v>
      </c>
      <c r="K10" s="54">
        <f t="shared" si="0"/>
        <v>342631.02831970755</v>
      </c>
      <c r="L10" s="55">
        <f t="shared" si="1"/>
        <v>343528.42330619867</v>
      </c>
      <c r="M10" s="55">
        <f t="shared" si="2"/>
        <v>-897.39498649112647</v>
      </c>
      <c r="N10" s="17">
        <f t="shared" si="3"/>
        <v>0</v>
      </c>
      <c r="W10" s="14">
        <v>5</v>
      </c>
      <c r="X10" s="15">
        <f t="shared" si="4"/>
        <v>342631.02831970755</v>
      </c>
      <c r="Y10" s="16">
        <f t="shared" si="5"/>
        <v>343528.42330619867</v>
      </c>
      <c r="Z10" s="16">
        <f t="shared" si="6"/>
        <v>-897.39498649112647</v>
      </c>
      <c r="AA10" s="17">
        <f t="shared" si="7"/>
        <v>0</v>
      </c>
    </row>
    <row r="11" spans="1:27">
      <c r="A11" s="38" t="s">
        <v>20</v>
      </c>
      <c r="B11" s="62">
        <f>IF(B10&lt;&gt;"",B10,IF(B8=0,($B$6-$B$7)/($B$9*12),-PMT($B$8/12,$B$9*12,$B$6-$B$7)))</f>
        <v>2838.9450067350144</v>
      </c>
      <c r="D11" s="13" t="s">
        <v>21</v>
      </c>
      <c r="E11" s="18" t="str">
        <f>IF(E10&gt;0,"Buy",IF(E10&lt;0,"Rent + Invest","Tie"))</f>
        <v>Buy</v>
      </c>
      <c r="J11" s="14">
        <v>6</v>
      </c>
      <c r="K11" s="54">
        <f t="shared" si="0"/>
        <v>353066.90338709916</v>
      </c>
      <c r="L11" s="55">
        <f t="shared" si="1"/>
        <v>345988.23539618118</v>
      </c>
      <c r="M11" s="55">
        <f t="shared" si="2"/>
        <v>7078.6679909179802</v>
      </c>
      <c r="N11" s="17">
        <f t="shared" si="3"/>
        <v>1</v>
      </c>
      <c r="W11" s="14">
        <v>6</v>
      </c>
      <c r="X11" s="15">
        <f t="shared" si="4"/>
        <v>353066.90338709916</v>
      </c>
      <c r="Y11" s="16">
        <f t="shared" si="5"/>
        <v>345988.23539618118</v>
      </c>
      <c r="Z11" s="16">
        <f t="shared" si="6"/>
        <v>7078.6679909179802</v>
      </c>
      <c r="AA11" s="17">
        <f t="shared" si="7"/>
        <v>1</v>
      </c>
    </row>
    <row r="12" spans="1:27">
      <c r="A12" s="38" t="s">
        <v>22</v>
      </c>
      <c r="B12" s="59">
        <v>9000</v>
      </c>
      <c r="D12" s="19" t="s">
        <v>23</v>
      </c>
      <c r="E12" s="20">
        <f>IFERROR(INDEX($A$33:$A$82,MATCH(1,$U$33:$U$82,0)),"No break-even within 50y")</f>
        <v>6</v>
      </c>
      <c r="J12" s="14">
        <v>7</v>
      </c>
      <c r="K12" s="54">
        <f t="shared" si="0"/>
        <v>362662.59249154764</v>
      </c>
      <c r="L12" s="55">
        <f t="shared" si="1"/>
        <v>347794.4539786164</v>
      </c>
      <c r="M12" s="55">
        <f t="shared" si="2"/>
        <v>14868.13851293124</v>
      </c>
      <c r="N12" s="17">
        <f t="shared" si="3"/>
        <v>1</v>
      </c>
      <c r="W12" s="14">
        <v>7</v>
      </c>
      <c r="X12" s="15">
        <f t="shared" si="4"/>
        <v>362662.59249154764</v>
      </c>
      <c r="Y12" s="16">
        <f t="shared" si="5"/>
        <v>347794.4539786164</v>
      </c>
      <c r="Z12" s="16">
        <f t="shared" si="6"/>
        <v>14868.13851293124</v>
      </c>
      <c r="AA12" s="17">
        <f t="shared" si="7"/>
        <v>1</v>
      </c>
    </row>
    <row r="13" spans="1:27">
      <c r="A13" s="38" t="s">
        <v>24</v>
      </c>
      <c r="B13" s="59">
        <v>2500</v>
      </c>
      <c r="J13" s="14">
        <v>8</v>
      </c>
      <c r="K13" s="54">
        <f t="shared" si="0"/>
        <v>371465.65736179065</v>
      </c>
      <c r="L13" s="55">
        <f t="shared" si="1"/>
        <v>348983.64207888558</v>
      </c>
      <c r="M13" s="55">
        <f t="shared" si="2"/>
        <v>22482.015282905078</v>
      </c>
      <c r="N13" s="17">
        <f t="shared" si="3"/>
        <v>1</v>
      </c>
      <c r="W13" s="14">
        <v>8</v>
      </c>
      <c r="X13" s="15">
        <f t="shared" si="4"/>
        <v>371465.65736179065</v>
      </c>
      <c r="Y13" s="16">
        <f t="shared" si="5"/>
        <v>348983.64207888558</v>
      </c>
      <c r="Z13" s="16">
        <f t="shared" si="6"/>
        <v>22482.015282905078</v>
      </c>
      <c r="AA13" s="17">
        <f t="shared" si="7"/>
        <v>1</v>
      </c>
    </row>
    <row r="14" spans="1:27">
      <c r="A14" s="38" t="s">
        <v>25</v>
      </c>
      <c r="B14" s="59">
        <v>3000</v>
      </c>
      <c r="D14" s="73" t="s">
        <v>26</v>
      </c>
      <c r="E14" s="74"/>
      <c r="F14" s="74"/>
      <c r="G14" s="74"/>
      <c r="H14" s="75"/>
      <c r="J14" s="14">
        <v>9</v>
      </c>
      <c r="K14" s="54">
        <f t="shared" si="0"/>
        <v>379521.25721221423</v>
      </c>
      <c r="L14" s="55">
        <f t="shared" si="1"/>
        <v>349590.46003917791</v>
      </c>
      <c r="M14" s="55">
        <f t="shared" si="2"/>
        <v>29930.797173036321</v>
      </c>
      <c r="N14" s="17">
        <f t="shared" si="3"/>
        <v>1</v>
      </c>
      <c r="W14" s="14">
        <v>9</v>
      </c>
      <c r="X14" s="15">
        <f t="shared" si="4"/>
        <v>379521.25721221423</v>
      </c>
      <c r="Y14" s="16">
        <f t="shared" si="5"/>
        <v>349590.46003917791</v>
      </c>
      <c r="Z14" s="16">
        <f t="shared" si="6"/>
        <v>29930.797173036321</v>
      </c>
      <c r="AA14" s="17">
        <f t="shared" si="7"/>
        <v>1</v>
      </c>
    </row>
    <row r="15" spans="1:27">
      <c r="A15" s="38" t="s">
        <v>27</v>
      </c>
      <c r="B15" s="60">
        <v>2.5000000000000001E-2</v>
      </c>
      <c r="D15" s="64" t="str">
        <f>IF(E10&gt;0,"Buying leads by "&amp;TEXT(E10,"$#,##0;[Red]($#,##0);-")&amp;" in NPV of ending wealth at year "&amp;$B$24&amp;". Buyer ending wealth is "&amp;TEXT(E6,"$#,##0;[Red]($#,##0);-")&amp;" versus renter wealth of "&amp;TEXT(E8,"$#,##0;[Red]($#,##0);-")&amp;".",IF(E10&lt;0,"Renting and investing leads by "&amp;TEXT(-E10,"$#,##0;[Red]($#,##0);-")&amp;" in NPV of ending wealth at year "&amp;$B$24&amp;". Renter wealth is "&amp;TEXT(E8,"$#,##0;[Red]($#,##0);-")&amp;" versus buyer wealth of "&amp;TEXT(E6,"$#,##0;[Red]($#,##0);-")&amp;".","Both strategies are tied on an NPV ending-wealth basis at year "&amp;$B$24&amp;"."))</f>
        <v>Buying leads by $162,654 in NPV of ending wealth at year 30. Buyer ending wealth is $1,883,556 versus renter wealth of $1,180,575.</v>
      </c>
      <c r="E15" s="65"/>
      <c r="F15" s="65"/>
      <c r="G15" s="65"/>
      <c r="H15" s="66"/>
      <c r="J15" s="14">
        <v>10</v>
      </c>
      <c r="K15" s="54">
        <f t="shared" si="0"/>
        <v>386872.26580838632</v>
      </c>
      <c r="L15" s="55">
        <f t="shared" si="1"/>
        <v>349647.75730914064</v>
      </c>
      <c r="M15" s="55">
        <f t="shared" si="2"/>
        <v>37224.508499245683</v>
      </c>
      <c r="N15" s="17">
        <f t="shared" si="3"/>
        <v>1</v>
      </c>
      <c r="W15" s="14">
        <v>10</v>
      </c>
      <c r="X15" s="15">
        <f t="shared" si="4"/>
        <v>386872.26580838632</v>
      </c>
      <c r="Y15" s="16">
        <f t="shared" si="5"/>
        <v>349647.75730914064</v>
      </c>
      <c r="Z15" s="16">
        <f t="shared" si="6"/>
        <v>37224.508499245683</v>
      </c>
      <c r="AA15" s="17">
        <f t="shared" si="7"/>
        <v>1</v>
      </c>
    </row>
    <row r="16" spans="1:27">
      <c r="A16" s="38" t="s">
        <v>28</v>
      </c>
      <c r="B16" s="60">
        <v>0.03</v>
      </c>
      <c r="D16" s="67"/>
      <c r="E16" s="68"/>
      <c r="F16" s="68"/>
      <c r="G16" s="68"/>
      <c r="H16" s="69"/>
      <c r="J16" s="14">
        <v>11</v>
      </c>
      <c r="K16" s="54">
        <f t="shared" si="0"/>
        <v>393559.38290760509</v>
      </c>
      <c r="L16" s="55">
        <f t="shared" si="1"/>
        <v>349186.65982565278</v>
      </c>
      <c r="M16" s="55">
        <f t="shared" si="2"/>
        <v>44372.72308195231</v>
      </c>
      <c r="N16" s="17">
        <f t="shared" si="3"/>
        <v>1</v>
      </c>
      <c r="W16" s="14">
        <v>11</v>
      </c>
      <c r="X16" s="15">
        <f t="shared" si="4"/>
        <v>393559.38290760509</v>
      </c>
      <c r="Y16" s="16">
        <f t="shared" si="5"/>
        <v>349186.65982565278</v>
      </c>
      <c r="Z16" s="16">
        <f t="shared" si="6"/>
        <v>44372.72308195231</v>
      </c>
      <c r="AA16" s="17">
        <f t="shared" si="7"/>
        <v>1</v>
      </c>
    </row>
    <row r="17" spans="1:27">
      <c r="A17" s="38" t="s">
        <v>29</v>
      </c>
      <c r="B17" s="60">
        <v>0.03</v>
      </c>
      <c r="D17" s="70"/>
      <c r="E17" s="71"/>
      <c r="F17" s="71"/>
      <c r="G17" s="71"/>
      <c r="H17" s="72"/>
      <c r="J17" s="14">
        <v>12</v>
      </c>
      <c r="K17" s="54">
        <f t="shared" si="0"/>
        <v>399621.24034327769</v>
      </c>
      <c r="L17" s="55">
        <f t="shared" si="1"/>
        <v>348236.65319175128</v>
      </c>
      <c r="M17" s="55">
        <f t="shared" si="2"/>
        <v>51384.587151526415</v>
      </c>
      <c r="N17" s="17">
        <f t="shared" si="3"/>
        <v>1</v>
      </c>
      <c r="W17" s="14">
        <v>12</v>
      </c>
      <c r="X17" s="15">
        <f t="shared" si="4"/>
        <v>399621.24034327769</v>
      </c>
      <c r="Y17" s="16">
        <f t="shared" si="5"/>
        <v>348236.65319175128</v>
      </c>
      <c r="Z17" s="16">
        <f t="shared" si="6"/>
        <v>51384.587151526415</v>
      </c>
      <c r="AA17" s="17">
        <f t="shared" si="7"/>
        <v>1</v>
      </c>
    </row>
    <row r="18" spans="1:27">
      <c r="A18" s="38" t="s">
        <v>30</v>
      </c>
      <c r="B18" s="60">
        <v>2.5000000000000001E-2</v>
      </c>
      <c r="J18" s="14">
        <v>13</v>
      </c>
      <c r="K18" s="54">
        <f t="shared" si="0"/>
        <v>405094.50300913095</v>
      </c>
      <c r="L18" s="55">
        <f t="shared" si="1"/>
        <v>346825.66185472894</v>
      </c>
      <c r="M18" s="55">
        <f t="shared" si="2"/>
        <v>58268.841154402005</v>
      </c>
      <c r="N18" s="17">
        <f t="shared" si="3"/>
        <v>1</v>
      </c>
      <c r="W18" s="14">
        <v>13</v>
      </c>
      <c r="X18" s="15">
        <f t="shared" si="4"/>
        <v>405094.50300913095</v>
      </c>
      <c r="Y18" s="16">
        <f t="shared" si="5"/>
        <v>346825.66185472894</v>
      </c>
      <c r="Z18" s="16">
        <f t="shared" si="6"/>
        <v>58268.841154402005</v>
      </c>
      <c r="AA18" s="17">
        <f t="shared" si="7"/>
        <v>1</v>
      </c>
    </row>
    <row r="19" spans="1:27">
      <c r="A19" s="39" t="s">
        <v>31</v>
      </c>
      <c r="B19" s="59">
        <v>4000</v>
      </c>
      <c r="J19" s="14">
        <v>14</v>
      </c>
      <c r="K19" s="54">
        <f t="shared" si="0"/>
        <v>410013.96498704428</v>
      </c>
      <c r="L19" s="55">
        <f t="shared" si="1"/>
        <v>344980.12447389844</v>
      </c>
      <c r="M19" s="55">
        <f t="shared" si="2"/>
        <v>65033.840513145842</v>
      </c>
      <c r="N19" s="17">
        <f t="shared" si="3"/>
        <v>1</v>
      </c>
      <c r="W19" s="14">
        <v>14</v>
      </c>
      <c r="X19" s="15">
        <f t="shared" si="4"/>
        <v>410013.96498704428</v>
      </c>
      <c r="Y19" s="16">
        <f t="shared" si="5"/>
        <v>344980.12447389844</v>
      </c>
      <c r="Z19" s="16">
        <f t="shared" si="6"/>
        <v>65033.840513145842</v>
      </c>
      <c r="AA19" s="17">
        <f t="shared" si="7"/>
        <v>1</v>
      </c>
    </row>
    <row r="20" spans="1:27">
      <c r="A20" s="39" t="s">
        <v>32</v>
      </c>
      <c r="B20" s="60">
        <v>0.03</v>
      </c>
      <c r="J20" s="21">
        <v>15</v>
      </c>
      <c r="K20" s="56">
        <f t="shared" si="0"/>
        <v>414412.64105066762</v>
      </c>
      <c r="L20" s="57">
        <f t="shared" si="1"/>
        <v>342725.06565943523</v>
      </c>
      <c r="M20" s="57">
        <f t="shared" si="2"/>
        <v>71687.575391232385</v>
      </c>
      <c r="N20" s="24">
        <f t="shared" si="3"/>
        <v>1</v>
      </c>
      <c r="W20" s="14">
        <v>15</v>
      </c>
      <c r="X20" s="15">
        <f t="shared" si="4"/>
        <v>414412.64105066762</v>
      </c>
      <c r="Y20" s="16">
        <f t="shared" si="5"/>
        <v>342725.06565943523</v>
      </c>
      <c r="Z20" s="16">
        <f t="shared" si="6"/>
        <v>71687.575391232385</v>
      </c>
      <c r="AA20" s="17">
        <f t="shared" si="7"/>
        <v>1</v>
      </c>
    </row>
    <row r="21" spans="1:27">
      <c r="A21" s="39" t="s">
        <v>33</v>
      </c>
      <c r="B21" s="59">
        <v>300</v>
      </c>
      <c r="W21" s="14">
        <v>16</v>
      </c>
      <c r="X21" s="15">
        <f t="shared" si="4"/>
        <v>418321.85376592004</v>
      </c>
      <c r="Y21" s="16">
        <f t="shared" si="5"/>
        <v>340084.16425507801</v>
      </c>
      <c r="Z21" s="16">
        <f t="shared" si="6"/>
        <v>78237.689510842029</v>
      </c>
      <c r="AA21" s="17">
        <f t="shared" si="7"/>
        <v>1</v>
      </c>
    </row>
    <row r="22" spans="1:27">
      <c r="A22" s="39" t="s">
        <v>34</v>
      </c>
      <c r="B22" s="60">
        <v>7.0000000000000007E-2</v>
      </c>
      <c r="J22" s="76"/>
      <c r="K22" s="76"/>
      <c r="L22" s="76"/>
      <c r="M22" s="76"/>
      <c r="N22" s="76"/>
      <c r="O22" s="76"/>
      <c r="W22" s="14">
        <v>17</v>
      </c>
      <c r="X22" s="15">
        <f t="shared" si="4"/>
        <v>421771.31639891071</v>
      </c>
      <c r="Y22" s="16">
        <f t="shared" si="5"/>
        <v>337079.81832922186</v>
      </c>
      <c r="Z22" s="16">
        <f t="shared" si="6"/>
        <v>84691.498069688852</v>
      </c>
      <c r="AA22" s="17">
        <f t="shared" si="7"/>
        <v>1</v>
      </c>
    </row>
    <row r="23" spans="1:27">
      <c r="A23" s="45" t="s">
        <v>35</v>
      </c>
      <c r="B23" s="60">
        <v>0.05</v>
      </c>
      <c r="J23" s="50"/>
      <c r="K23" s="50"/>
      <c r="L23" s="50"/>
      <c r="M23" s="50"/>
      <c r="N23" s="50"/>
      <c r="O23" s="50"/>
      <c r="W23" s="14">
        <v>18</v>
      </c>
      <c r="X23" s="15">
        <f t="shared" si="4"/>
        <v>424789.21183178842</v>
      </c>
      <c r="Y23" s="16">
        <f t="shared" si="5"/>
        <v>333733.20703111007</v>
      </c>
      <c r="Z23" s="16">
        <f t="shared" si="6"/>
        <v>91056.004800678347</v>
      </c>
      <c r="AA23" s="17">
        <f t="shared" si="7"/>
        <v>1</v>
      </c>
    </row>
    <row r="24" spans="1:27">
      <c r="A24" s="45" t="s">
        <v>36</v>
      </c>
      <c r="B24" s="61">
        <v>30</v>
      </c>
      <c r="J24" s="51"/>
      <c r="K24" s="47"/>
      <c r="L24" s="47"/>
      <c r="M24" s="47"/>
      <c r="N24" s="48"/>
      <c r="O24" s="48"/>
      <c r="W24" s="14">
        <v>19</v>
      </c>
      <c r="X24" s="15">
        <f t="shared" si="4"/>
        <v>427402.26767745952</v>
      </c>
      <c r="Y24" s="16">
        <f t="shared" si="5"/>
        <v>330064.34946135373</v>
      </c>
      <c r="Z24" s="16">
        <f t="shared" si="6"/>
        <v>97337.918216105783</v>
      </c>
      <c r="AA24" s="17">
        <f t="shared" si="7"/>
        <v>1</v>
      </c>
    </row>
    <row r="25" spans="1:27">
      <c r="A25" s="46" t="s">
        <v>37</v>
      </c>
      <c r="B25" s="63">
        <v>50</v>
      </c>
      <c r="J25" s="51"/>
      <c r="K25" s="47"/>
      <c r="L25" s="47"/>
      <c r="M25" s="47"/>
      <c r="N25" s="48"/>
      <c r="O25" s="48"/>
      <c r="W25" s="14">
        <v>20</v>
      </c>
      <c r="X25" s="15">
        <f t="shared" si="4"/>
        <v>429635.82777500508</v>
      </c>
      <c r="Y25" s="16">
        <f t="shared" si="5"/>
        <v>326092.16069890355</v>
      </c>
      <c r="Z25" s="16">
        <f t="shared" si="6"/>
        <v>103543.66707610153</v>
      </c>
      <c r="AA25" s="17">
        <f t="shared" si="7"/>
        <v>1</v>
      </c>
    </row>
    <row r="26" spans="1:27">
      <c r="J26" s="51"/>
      <c r="K26" s="47"/>
      <c r="L26" s="47"/>
      <c r="M26" s="47"/>
      <c r="N26" s="48"/>
      <c r="O26" s="48"/>
      <c r="W26" s="14">
        <v>21</v>
      </c>
      <c r="X26" s="15">
        <f t="shared" si="4"/>
        <v>431513.92023895367</v>
      </c>
      <c r="Y26" s="16">
        <f t="shared" si="5"/>
        <v>321834.50511982018</v>
      </c>
      <c r="Z26" s="16">
        <f t="shared" si="6"/>
        <v>109679.41511913348</v>
      </c>
      <c r="AA26" s="17">
        <f t="shared" si="7"/>
        <v>1</v>
      </c>
    </row>
    <row r="27" spans="1:27">
      <c r="J27" s="51"/>
      <c r="K27" s="49"/>
      <c r="L27" s="49"/>
      <c r="M27" s="49"/>
      <c r="N27" s="48"/>
      <c r="O27" s="48"/>
      <c r="W27" s="14">
        <v>22</v>
      </c>
      <c r="X27" s="15">
        <f t="shared" si="4"/>
        <v>433059.32222730707</v>
      </c>
      <c r="Y27" s="16">
        <f t="shared" si="5"/>
        <v>317308.24713674065</v>
      </c>
      <c r="Z27" s="16">
        <f t="shared" si="6"/>
        <v>115751.07509056642</v>
      </c>
      <c r="AA27" s="17">
        <f t="shared" si="7"/>
        <v>1</v>
      </c>
    </row>
    <row r="28" spans="1:27">
      <c r="J28" s="51"/>
      <c r="K28" s="47"/>
      <c r="L28" s="47"/>
      <c r="M28" s="47"/>
      <c r="N28" s="48"/>
      <c r="O28" s="48"/>
      <c r="W28" s="14">
        <v>23</v>
      </c>
      <c r="X28" s="15">
        <f t="shared" si="4"/>
        <v>434293.62158534524</v>
      </c>
      <c r="Y28" s="16">
        <f t="shared" si="5"/>
        <v>312529.29948179296</v>
      </c>
      <c r="Z28" s="16">
        <f t="shared" si="6"/>
        <v>121764.32210355229</v>
      </c>
      <c r="AA28" s="17">
        <f t="shared" si="7"/>
        <v>1</v>
      </c>
    </row>
    <row r="29" spans="1:27">
      <c r="W29" s="14">
        <v>24</v>
      </c>
      <c r="X29" s="15">
        <f t="shared" si="4"/>
        <v>435237.27551475057</v>
      </c>
      <c r="Y29" s="16">
        <f t="shared" si="5"/>
        <v>307512.66914986016</v>
      </c>
      <c r="Z29" s="16">
        <f t="shared" si="6"/>
        <v>127724.60636489041</v>
      </c>
      <c r="AA29" s="17">
        <f t="shared" si="7"/>
        <v>1</v>
      </c>
    </row>
    <row r="30" spans="1:27">
      <c r="A30" s="73" t="s">
        <v>38</v>
      </c>
      <c r="B30" s="74"/>
      <c r="C30" s="74"/>
      <c r="D30" s="74"/>
      <c r="E30" s="74"/>
      <c r="F30" s="74"/>
      <c r="G30" s="74"/>
      <c r="H30" s="74"/>
      <c r="I30" s="74"/>
      <c r="J30" s="74"/>
      <c r="K30" s="74"/>
      <c r="L30" s="74"/>
      <c r="M30" s="74"/>
      <c r="N30" s="74"/>
      <c r="O30" s="74"/>
      <c r="P30" s="74"/>
      <c r="Q30" s="74"/>
      <c r="R30" s="74"/>
      <c r="S30" s="74"/>
      <c r="T30" s="74"/>
      <c r="U30" s="75"/>
      <c r="W30" s="14">
        <v>25</v>
      </c>
      <c r="X30" s="15">
        <f t="shared" si="4"/>
        <v>435909.66641044762</v>
      </c>
      <c r="Y30" s="16">
        <f t="shared" si="5"/>
        <v>302272.50111352035</v>
      </c>
      <c r="Z30" s="16">
        <f t="shared" si="6"/>
        <v>133637.16529692727</v>
      </c>
      <c r="AA30" s="17">
        <f t="shared" si="7"/>
        <v>1</v>
      </c>
    </row>
    <row r="31" spans="1:27" ht="25.3" customHeight="1">
      <c r="A31" s="25" t="s">
        <v>39</v>
      </c>
      <c r="B31" s="26" t="s">
        <v>40</v>
      </c>
      <c r="C31" s="26" t="s">
        <v>41</v>
      </c>
      <c r="D31" s="26" t="s">
        <v>42</v>
      </c>
      <c r="E31" s="26" t="s">
        <v>43</v>
      </c>
      <c r="F31" s="26" t="s">
        <v>44</v>
      </c>
      <c r="G31" s="26" t="s">
        <v>45</v>
      </c>
      <c r="H31" s="26" t="s">
        <v>46</v>
      </c>
      <c r="I31" s="26" t="s">
        <v>47</v>
      </c>
      <c r="J31" s="26" t="s">
        <v>48</v>
      </c>
      <c r="K31" s="26" t="s">
        <v>49</v>
      </c>
      <c r="L31" s="26" t="s">
        <v>50</v>
      </c>
      <c r="M31" s="26" t="s">
        <v>51</v>
      </c>
      <c r="N31" s="26" t="s">
        <v>52</v>
      </c>
      <c r="O31" s="26" t="s">
        <v>53</v>
      </c>
      <c r="P31" s="26" t="s">
        <v>54</v>
      </c>
      <c r="Q31" s="26" t="s">
        <v>55</v>
      </c>
      <c r="R31" s="26" t="s">
        <v>56</v>
      </c>
      <c r="S31" s="26" t="s">
        <v>57</v>
      </c>
      <c r="T31" s="26" t="s">
        <v>58</v>
      </c>
      <c r="U31" s="27" t="s">
        <v>10</v>
      </c>
      <c r="W31" s="14">
        <v>26</v>
      </c>
      <c r="X31" s="15">
        <f t="shared" si="4"/>
        <v>436329.15500076866</v>
      </c>
      <c r="Y31" s="16">
        <f t="shared" si="5"/>
        <v>296822.11991568317</v>
      </c>
      <c r="Z31" s="16">
        <f t="shared" si="6"/>
        <v>139507.03508508549</v>
      </c>
      <c r="AA31" s="17">
        <f t="shared" si="7"/>
        <v>1</v>
      </c>
    </row>
    <row r="32" spans="1:27">
      <c r="A32" s="28">
        <v>0</v>
      </c>
      <c r="B32" s="29">
        <f t="shared" ref="B32:B63" si="8">1/(1+$B$23)^A32</f>
        <v>1</v>
      </c>
      <c r="C32" s="40">
        <f t="shared" ref="C32:C63" si="9">$B$6*(1+$B$17)^A32</f>
        <v>800000</v>
      </c>
      <c r="D32" s="40">
        <f t="shared" ref="D32:D63" si="10">IF(A32=0,$B$6-$B$7,IF(A32&gt;=$B$9,0,IF($B$8=0,MAX(0,($B$6-$B$7)-$B$11*12*A32),MAX(0,($B$6-$B$7)*(1+$B$8/12)^(12*A32)-$B$11*(((1+$B$8/12)^(12*A32)-1)/($B$8/12))))))</f>
        <v>500000</v>
      </c>
      <c r="E32" s="40">
        <f t="shared" ref="E32:E63" si="11">IF(AND(A32&gt;=1,A32&lt;=$B$9),$B$11*12,0)</f>
        <v>0</v>
      </c>
      <c r="F32" s="40">
        <f t="shared" ref="F32:F63" si="12">IF(A32=0,0,$B$12*(1+$B$18)^(A32-1))</f>
        <v>0</v>
      </c>
      <c r="G32" s="40">
        <f t="shared" ref="G32:G63" si="13">IF(A32=0,0,$B$13*(1+$B$18)^(A32-1))</f>
        <v>0</v>
      </c>
      <c r="H32" s="40">
        <f t="shared" ref="H32:H63" si="14">IF(A32=0,0,$B$14*(1+$B$18)^(A32-1))</f>
        <v>0</v>
      </c>
      <c r="I32" s="40">
        <f t="shared" ref="I32:I63" si="15">IF(A32=0,$B$7+($B$6*$B$15),E32+F32+G32+H32)</f>
        <v>320000</v>
      </c>
      <c r="J32" s="40">
        <f t="shared" ref="J32:J63" si="16">C32</f>
        <v>800000</v>
      </c>
      <c r="K32" s="40">
        <f t="shared" ref="K32:K63" si="17">J32*$B$16</f>
        <v>24000</v>
      </c>
      <c r="L32" s="40">
        <f t="shared" ref="L32:L63" si="18">J32-K32-D32</f>
        <v>276000</v>
      </c>
      <c r="M32" s="40">
        <f t="shared" ref="M32:M63" si="19">IF(A32=0,0,$B$19*12*(1+$B$20)^(A32-1))</f>
        <v>0</v>
      </c>
      <c r="N32" s="40">
        <f t="shared" ref="N32:N63" si="20">IF(A32=0,0,$B$21)</f>
        <v>0</v>
      </c>
      <c r="O32" s="40">
        <f t="shared" ref="O32:O63" si="21">M32+N32</f>
        <v>0</v>
      </c>
      <c r="P32" s="40">
        <f t="shared" ref="P32:P63" si="22">I32-O32</f>
        <v>320000</v>
      </c>
      <c r="Q32" s="40">
        <f>$B$7+($B$6*$B$15)</f>
        <v>320000</v>
      </c>
      <c r="R32" s="40">
        <f t="shared" ref="R32:R63" si="23">L32/(1+$B$23)^A32</f>
        <v>276000</v>
      </c>
      <c r="S32" s="40">
        <f t="shared" ref="S32:S63" si="24">Q32/(1+$B$23)^A32</f>
        <v>320000</v>
      </c>
      <c r="T32" s="40">
        <f t="shared" ref="T32:T63" si="25">R32-S32</f>
        <v>-44000</v>
      </c>
      <c r="U32" s="30">
        <f t="shared" ref="U32:U63" si="26">IF(T32&gt;0,1,0)</f>
        <v>0</v>
      </c>
      <c r="W32" s="14">
        <v>27</v>
      </c>
      <c r="X32" s="15">
        <f t="shared" si="4"/>
        <v>436513.13092007668</v>
      </c>
      <c r="Y32" s="16">
        <f t="shared" si="5"/>
        <v>291174.06924088462</v>
      </c>
      <c r="Z32" s="16">
        <f t="shared" si="6"/>
        <v>145339.06167919206</v>
      </c>
      <c r="AA32" s="17">
        <f t="shared" si="7"/>
        <v>1</v>
      </c>
    </row>
    <row r="33" spans="1:27">
      <c r="A33" s="31">
        <f t="shared" ref="A33:A64" si="27">A32+1</f>
        <v>1</v>
      </c>
      <c r="B33" s="32">
        <f t="shared" si="8"/>
        <v>0.95238095238095233</v>
      </c>
      <c r="C33" s="41">
        <f t="shared" si="9"/>
        <v>824000</v>
      </c>
      <c r="D33" s="41">
        <f t="shared" si="10"/>
        <v>493264.55268394115</v>
      </c>
      <c r="E33" s="41">
        <f t="shared" si="11"/>
        <v>34067.34008082017</v>
      </c>
      <c r="F33" s="41">
        <f t="shared" si="12"/>
        <v>9000</v>
      </c>
      <c r="G33" s="41">
        <f t="shared" si="13"/>
        <v>2500</v>
      </c>
      <c r="H33" s="41">
        <f t="shared" si="14"/>
        <v>3000</v>
      </c>
      <c r="I33" s="41">
        <f t="shared" si="15"/>
        <v>48567.34008082017</v>
      </c>
      <c r="J33" s="41">
        <f t="shared" si="16"/>
        <v>824000</v>
      </c>
      <c r="K33" s="41">
        <f t="shared" si="17"/>
        <v>24720</v>
      </c>
      <c r="L33" s="41">
        <f t="shared" si="18"/>
        <v>306015.44731605885</v>
      </c>
      <c r="M33" s="41">
        <f t="shared" si="19"/>
        <v>48000</v>
      </c>
      <c r="N33" s="41">
        <f t="shared" si="20"/>
        <v>300</v>
      </c>
      <c r="O33" s="41">
        <f t="shared" si="21"/>
        <v>48300</v>
      </c>
      <c r="P33" s="41">
        <f t="shared" si="22"/>
        <v>267.34008082016953</v>
      </c>
      <c r="Q33" s="41">
        <f t="shared" ref="Q33:Q64" si="28">Q32*(1+$B$22)+P33</f>
        <v>342667.34008082014</v>
      </c>
      <c r="R33" s="41">
        <f t="shared" si="23"/>
        <v>291443.28315815126</v>
      </c>
      <c r="S33" s="41">
        <f t="shared" si="24"/>
        <v>326349.84769601916</v>
      </c>
      <c r="T33" s="41">
        <f t="shared" si="25"/>
        <v>-34906.564537867904</v>
      </c>
      <c r="U33" s="33">
        <f t="shared" si="26"/>
        <v>0</v>
      </c>
      <c r="W33" s="14">
        <v>28</v>
      </c>
      <c r="X33" s="15">
        <f t="shared" si="4"/>
        <v>436478.06083681708</v>
      </c>
      <c r="Y33" s="16">
        <f t="shared" si="5"/>
        <v>285340.1495613897</v>
      </c>
      <c r="Z33" s="16">
        <f t="shared" si="6"/>
        <v>151137.91127542738</v>
      </c>
      <c r="AA33" s="17">
        <f t="shared" si="7"/>
        <v>1</v>
      </c>
    </row>
    <row r="34" spans="1:27">
      <c r="A34" s="31">
        <f t="shared" si="27"/>
        <v>2</v>
      </c>
      <c r="B34" s="32">
        <f t="shared" si="8"/>
        <v>0.90702947845804982</v>
      </c>
      <c r="C34" s="41">
        <f t="shared" si="9"/>
        <v>848720</v>
      </c>
      <c r="D34" s="41">
        <f t="shared" si="10"/>
        <v>486149.17319604399</v>
      </c>
      <c r="E34" s="41">
        <f t="shared" si="11"/>
        <v>34067.34008082017</v>
      </c>
      <c r="F34" s="41">
        <f t="shared" si="12"/>
        <v>9225</v>
      </c>
      <c r="G34" s="41">
        <f t="shared" si="13"/>
        <v>2562.5</v>
      </c>
      <c r="H34" s="41">
        <f t="shared" si="14"/>
        <v>3074.9999999999995</v>
      </c>
      <c r="I34" s="41">
        <f t="shared" si="15"/>
        <v>48929.84008082017</v>
      </c>
      <c r="J34" s="41">
        <f t="shared" si="16"/>
        <v>848720</v>
      </c>
      <c r="K34" s="41">
        <f t="shared" si="17"/>
        <v>25461.599999999999</v>
      </c>
      <c r="L34" s="41">
        <f t="shared" si="18"/>
        <v>337109.22680395603</v>
      </c>
      <c r="M34" s="41">
        <f t="shared" si="19"/>
        <v>49440</v>
      </c>
      <c r="N34" s="41">
        <f t="shared" si="20"/>
        <v>300</v>
      </c>
      <c r="O34" s="41">
        <f t="shared" si="21"/>
        <v>49740</v>
      </c>
      <c r="P34" s="41">
        <f t="shared" si="22"/>
        <v>-810.15991917983047</v>
      </c>
      <c r="Q34" s="41">
        <f t="shared" si="28"/>
        <v>365843.89396729774</v>
      </c>
      <c r="R34" s="41">
        <f t="shared" si="23"/>
        <v>305768.00617138867</v>
      </c>
      <c r="S34" s="41">
        <f t="shared" si="24"/>
        <v>331831.19634222018</v>
      </c>
      <c r="T34" s="41">
        <f t="shared" si="25"/>
        <v>-26063.190170831513</v>
      </c>
      <c r="U34" s="33">
        <f t="shared" si="26"/>
        <v>0</v>
      </c>
      <c r="W34" s="14">
        <v>29</v>
      </c>
      <c r="X34" s="15">
        <f t="shared" si="4"/>
        <v>436239.53425410105</v>
      </c>
      <c r="Y34" s="16">
        <f t="shared" si="5"/>
        <v>279331.45394966484</v>
      </c>
      <c r="Z34" s="16">
        <f t="shared" si="6"/>
        <v>156908.08030443621</v>
      </c>
      <c r="AA34" s="17">
        <f t="shared" si="7"/>
        <v>1</v>
      </c>
    </row>
    <row r="35" spans="1:27">
      <c r="A35" s="31">
        <f t="shared" si="27"/>
        <v>3</v>
      </c>
      <c r="B35" s="32">
        <f t="shared" si="8"/>
        <v>0.86383759853147601</v>
      </c>
      <c r="C35" s="41">
        <f t="shared" si="9"/>
        <v>874181.6</v>
      </c>
      <c r="D35" s="41">
        <f t="shared" si="10"/>
        <v>478632.43037540332</v>
      </c>
      <c r="E35" s="41">
        <f t="shared" si="11"/>
        <v>34067.34008082017</v>
      </c>
      <c r="F35" s="41">
        <f t="shared" si="12"/>
        <v>9455.625</v>
      </c>
      <c r="G35" s="41">
        <f t="shared" si="13"/>
        <v>2626.5625</v>
      </c>
      <c r="H35" s="41">
        <f t="shared" si="14"/>
        <v>3151.8749999999995</v>
      </c>
      <c r="I35" s="41">
        <f t="shared" si="15"/>
        <v>49301.40258082017</v>
      </c>
      <c r="J35" s="41">
        <f t="shared" si="16"/>
        <v>874181.6</v>
      </c>
      <c r="K35" s="41">
        <f t="shared" si="17"/>
        <v>26225.447999999997</v>
      </c>
      <c r="L35" s="41">
        <f t="shared" si="18"/>
        <v>369323.72162459668</v>
      </c>
      <c r="M35" s="41">
        <f t="shared" si="19"/>
        <v>50923.199999999997</v>
      </c>
      <c r="N35" s="41">
        <f t="shared" si="20"/>
        <v>300</v>
      </c>
      <c r="O35" s="41">
        <f t="shared" si="21"/>
        <v>51223.199999999997</v>
      </c>
      <c r="P35" s="41">
        <f t="shared" si="22"/>
        <v>-1921.7974191798276</v>
      </c>
      <c r="Q35" s="41">
        <f t="shared" si="28"/>
        <v>389531.16912582878</v>
      </c>
      <c r="R35" s="41">
        <f t="shared" si="23"/>
        <v>319035.71676889894</v>
      </c>
      <c r="S35" s="41">
        <f t="shared" si="24"/>
        <v>336491.66969081416</v>
      </c>
      <c r="T35" s="41">
        <f t="shared" si="25"/>
        <v>-17455.952921915217</v>
      </c>
      <c r="U35" s="33">
        <f t="shared" si="26"/>
        <v>0</v>
      </c>
      <c r="W35" s="14">
        <v>30</v>
      </c>
      <c r="X35" s="15">
        <f t="shared" si="4"/>
        <v>435812.30709433393</v>
      </c>
      <c r="Y35" s="16">
        <f t="shared" si="5"/>
        <v>273158.40214441437</v>
      </c>
      <c r="Z35" s="16">
        <f t="shared" si="6"/>
        <v>162653.90494991955</v>
      </c>
      <c r="AA35" s="17">
        <f t="shared" si="7"/>
        <v>1</v>
      </c>
    </row>
    <row r="36" spans="1:27">
      <c r="A36" s="31">
        <f t="shared" si="27"/>
        <v>4</v>
      </c>
      <c r="B36" s="32">
        <f t="shared" si="8"/>
        <v>0.82270247479188197</v>
      </c>
      <c r="C36" s="41">
        <f t="shared" si="9"/>
        <v>900407.04799999995</v>
      </c>
      <c r="D36" s="41">
        <f t="shared" si="10"/>
        <v>470691.68417518208</v>
      </c>
      <c r="E36" s="41">
        <f t="shared" si="11"/>
        <v>34067.34008082017</v>
      </c>
      <c r="F36" s="41">
        <f t="shared" si="12"/>
        <v>9692.0156249999982</v>
      </c>
      <c r="G36" s="41">
        <f t="shared" si="13"/>
        <v>2692.2265624999995</v>
      </c>
      <c r="H36" s="41">
        <f t="shared" si="14"/>
        <v>3230.6718749999995</v>
      </c>
      <c r="I36" s="41">
        <f t="shared" si="15"/>
        <v>49682.25414332017</v>
      </c>
      <c r="J36" s="41">
        <f t="shared" si="16"/>
        <v>900407.04799999995</v>
      </c>
      <c r="K36" s="41">
        <f t="shared" si="17"/>
        <v>27012.211439999999</v>
      </c>
      <c r="L36" s="41">
        <f t="shared" si="18"/>
        <v>402703.15238481789</v>
      </c>
      <c r="M36" s="41">
        <f t="shared" si="19"/>
        <v>52450.896000000001</v>
      </c>
      <c r="N36" s="41">
        <f t="shared" si="20"/>
        <v>300</v>
      </c>
      <c r="O36" s="41">
        <f t="shared" si="21"/>
        <v>52750.896000000001</v>
      </c>
      <c r="P36" s="41">
        <f t="shared" si="22"/>
        <v>-3068.6418566798311</v>
      </c>
      <c r="Q36" s="41">
        <f t="shared" si="28"/>
        <v>413729.70910795702</v>
      </c>
      <c r="R36" s="41">
        <f t="shared" si="23"/>
        <v>331304.88007348205</v>
      </c>
      <c r="S36" s="41">
        <f t="shared" si="24"/>
        <v>340376.45557804167</v>
      </c>
      <c r="T36" s="41">
        <f t="shared" si="25"/>
        <v>-9071.5755045596161</v>
      </c>
      <c r="U36" s="33">
        <f t="shared" si="26"/>
        <v>0</v>
      </c>
      <c r="W36" s="14">
        <v>31</v>
      </c>
      <c r="X36" s="15">
        <f t="shared" si="4"/>
        <v>427511.12029253697</v>
      </c>
      <c r="Y36" s="16">
        <f t="shared" si="5"/>
        <v>259323.71178141327</v>
      </c>
      <c r="Z36" s="16">
        <f t="shared" si="6"/>
        <v>168187.40851112371</v>
      </c>
      <c r="AA36" s="17">
        <f t="shared" si="7"/>
        <v>1</v>
      </c>
    </row>
    <row r="37" spans="1:27">
      <c r="A37" s="31">
        <f t="shared" si="27"/>
        <v>5</v>
      </c>
      <c r="B37" s="32">
        <f t="shared" si="8"/>
        <v>0.78352616646845896</v>
      </c>
      <c r="C37" s="41">
        <f t="shared" si="9"/>
        <v>927419.25943999982</v>
      </c>
      <c r="D37" s="41">
        <f t="shared" si="10"/>
        <v>462303.01747194171</v>
      </c>
      <c r="E37" s="41">
        <f t="shared" si="11"/>
        <v>34067.34008082017</v>
      </c>
      <c r="F37" s="41">
        <f t="shared" si="12"/>
        <v>9934.3160156249978</v>
      </c>
      <c r="G37" s="41">
        <f t="shared" si="13"/>
        <v>2759.5322265624995</v>
      </c>
      <c r="H37" s="41">
        <f t="shared" si="14"/>
        <v>3311.4386718749993</v>
      </c>
      <c r="I37" s="41">
        <f t="shared" si="15"/>
        <v>50072.626994882667</v>
      </c>
      <c r="J37" s="41">
        <f t="shared" si="16"/>
        <v>927419.25943999982</v>
      </c>
      <c r="K37" s="41">
        <f t="shared" si="17"/>
        <v>27822.577783199995</v>
      </c>
      <c r="L37" s="41">
        <f t="shared" si="18"/>
        <v>437293.66418485815</v>
      </c>
      <c r="M37" s="41">
        <f t="shared" si="19"/>
        <v>54024.422879999998</v>
      </c>
      <c r="N37" s="41">
        <f t="shared" si="20"/>
        <v>300</v>
      </c>
      <c r="O37" s="41">
        <f t="shared" si="21"/>
        <v>54324.422879999998</v>
      </c>
      <c r="P37" s="41">
        <f t="shared" si="22"/>
        <v>-4251.7958851173316</v>
      </c>
      <c r="Q37" s="41">
        <f t="shared" si="28"/>
        <v>438438.99286039674</v>
      </c>
      <c r="R37" s="41">
        <f t="shared" si="23"/>
        <v>342631.02831970755</v>
      </c>
      <c r="S37" s="41">
        <f t="shared" si="24"/>
        <v>343528.42330619867</v>
      </c>
      <c r="T37" s="41">
        <f t="shared" si="25"/>
        <v>-897.39498649112647</v>
      </c>
      <c r="U37" s="33">
        <f t="shared" si="26"/>
        <v>0</v>
      </c>
      <c r="W37" s="14">
        <v>32</v>
      </c>
      <c r="X37" s="15">
        <f t="shared" si="4"/>
        <v>419368.0513345839</v>
      </c>
      <c r="Y37" s="16">
        <f t="shared" si="5"/>
        <v>245558.10018926978</v>
      </c>
      <c r="Z37" s="16">
        <f t="shared" si="6"/>
        <v>173809.95114531412</v>
      </c>
      <c r="AA37" s="17">
        <f t="shared" si="7"/>
        <v>1</v>
      </c>
    </row>
    <row r="38" spans="1:27">
      <c r="A38" s="31">
        <f t="shared" si="27"/>
        <v>6</v>
      </c>
      <c r="B38" s="32">
        <f t="shared" si="8"/>
        <v>0.74621539663662761</v>
      </c>
      <c r="C38" s="41">
        <f t="shared" si="9"/>
        <v>955241.83722319989</v>
      </c>
      <c r="D38" s="41">
        <f t="shared" si="10"/>
        <v>453441.16402848426</v>
      </c>
      <c r="E38" s="41">
        <f t="shared" si="11"/>
        <v>34067.34008082017</v>
      </c>
      <c r="F38" s="41">
        <f t="shared" si="12"/>
        <v>10182.673916015621</v>
      </c>
      <c r="G38" s="41">
        <f t="shared" si="13"/>
        <v>2828.5205322265615</v>
      </c>
      <c r="H38" s="41">
        <f t="shared" si="14"/>
        <v>3394.2246386718739</v>
      </c>
      <c r="I38" s="41">
        <f t="shared" si="15"/>
        <v>50472.759167734228</v>
      </c>
      <c r="J38" s="41">
        <f t="shared" si="16"/>
        <v>955241.83722319989</v>
      </c>
      <c r="K38" s="41">
        <f t="shared" si="17"/>
        <v>28657.255116695997</v>
      </c>
      <c r="L38" s="41">
        <f t="shared" si="18"/>
        <v>473143.41807801963</v>
      </c>
      <c r="M38" s="41">
        <f t="shared" si="19"/>
        <v>55645.15556639999</v>
      </c>
      <c r="N38" s="41">
        <f t="shared" si="20"/>
        <v>300</v>
      </c>
      <c r="O38" s="41">
        <f t="shared" si="21"/>
        <v>55945.15556639999</v>
      </c>
      <c r="P38" s="41">
        <f t="shared" si="22"/>
        <v>-5472.3963986657618</v>
      </c>
      <c r="Q38" s="41">
        <f t="shared" si="28"/>
        <v>463657.32596195873</v>
      </c>
      <c r="R38" s="41">
        <f t="shared" si="23"/>
        <v>353066.90338709916</v>
      </c>
      <c r="S38" s="41">
        <f t="shared" si="24"/>
        <v>345988.23539618118</v>
      </c>
      <c r="T38" s="41">
        <f t="shared" si="25"/>
        <v>7078.6679909179802</v>
      </c>
      <c r="U38" s="33">
        <f t="shared" si="26"/>
        <v>1</v>
      </c>
      <c r="W38" s="14">
        <v>33</v>
      </c>
      <c r="X38" s="15">
        <f t="shared" ref="X38:X55" si="29">INDEX($R$32:$R$82,MATCH(W38,$A$32:$A$82,0))</f>
        <v>411380.08845202037</v>
      </c>
      <c r="Y38" s="16">
        <f t="shared" ref="Y38:Y55" si="30">INDEX($S$32:$S$82,MATCH(W38,$A$32:$A$82,0))</f>
        <v>231857.2179202103</v>
      </c>
      <c r="Z38" s="16">
        <f t="shared" ref="Z38:Z55" si="31">X38-Y38</f>
        <v>179522.87053181007</v>
      </c>
      <c r="AA38" s="17">
        <f t="shared" ref="AA38:AA55" si="32">IF(Z38&gt;0,1,0)</f>
        <v>1</v>
      </c>
    </row>
    <row r="39" spans="1:27">
      <c r="A39" s="31">
        <f t="shared" si="27"/>
        <v>7</v>
      </c>
      <c r="B39" s="32">
        <f t="shared" si="8"/>
        <v>0.71068133013012147</v>
      </c>
      <c r="C39" s="41">
        <f t="shared" si="9"/>
        <v>983899.09233989601</v>
      </c>
      <c r="D39" s="41">
        <f t="shared" si="10"/>
        <v>444079.43239323108</v>
      </c>
      <c r="E39" s="41">
        <f t="shared" si="11"/>
        <v>34067.34008082017</v>
      </c>
      <c r="F39" s="41">
        <f t="shared" si="12"/>
        <v>10437.240763916012</v>
      </c>
      <c r="G39" s="41">
        <f t="shared" si="13"/>
        <v>2899.2335455322254</v>
      </c>
      <c r="H39" s="41">
        <f t="shared" si="14"/>
        <v>3479.0802546386703</v>
      </c>
      <c r="I39" s="41">
        <f t="shared" si="15"/>
        <v>50882.894644907072</v>
      </c>
      <c r="J39" s="41">
        <f t="shared" si="16"/>
        <v>983899.09233989601</v>
      </c>
      <c r="K39" s="41">
        <f t="shared" si="17"/>
        <v>29516.97277019688</v>
      </c>
      <c r="L39" s="41">
        <f t="shared" si="18"/>
        <v>510302.68717646808</v>
      </c>
      <c r="M39" s="41">
        <f t="shared" si="19"/>
        <v>57314.510233391993</v>
      </c>
      <c r="N39" s="41">
        <f t="shared" si="20"/>
        <v>300</v>
      </c>
      <c r="O39" s="41">
        <f t="shared" si="21"/>
        <v>57614.510233391993</v>
      </c>
      <c r="P39" s="41">
        <f t="shared" si="22"/>
        <v>-6731.6155884849213</v>
      </c>
      <c r="Q39" s="41">
        <f t="shared" si="28"/>
        <v>489381.72319081094</v>
      </c>
      <c r="R39" s="41">
        <f t="shared" si="23"/>
        <v>362662.59249154764</v>
      </c>
      <c r="S39" s="41">
        <f t="shared" si="24"/>
        <v>347794.4539786164</v>
      </c>
      <c r="T39" s="41">
        <f t="shared" si="25"/>
        <v>14868.13851293124</v>
      </c>
      <c r="U39" s="33">
        <f t="shared" si="26"/>
        <v>1</v>
      </c>
      <c r="W39" s="14">
        <v>34</v>
      </c>
      <c r="X39" s="15">
        <f t="shared" si="29"/>
        <v>403544.27724341041</v>
      </c>
      <c r="Y39" s="16">
        <f t="shared" si="30"/>
        <v>218216.72677956894</v>
      </c>
      <c r="Z39" s="16">
        <f t="shared" si="31"/>
        <v>185327.55046384147</v>
      </c>
      <c r="AA39" s="17">
        <f t="shared" si="32"/>
        <v>1</v>
      </c>
    </row>
    <row r="40" spans="1:27">
      <c r="A40" s="31">
        <f t="shared" si="27"/>
        <v>8</v>
      </c>
      <c r="B40" s="32">
        <f t="shared" si="8"/>
        <v>0.67683936202868722</v>
      </c>
      <c r="C40" s="41">
        <f t="shared" si="9"/>
        <v>1013416.0651100927</v>
      </c>
      <c r="D40" s="41">
        <f t="shared" si="10"/>
        <v>434189.6255069297</v>
      </c>
      <c r="E40" s="41">
        <f t="shared" si="11"/>
        <v>34067.34008082017</v>
      </c>
      <c r="F40" s="41">
        <f t="shared" si="12"/>
        <v>10698.171783013913</v>
      </c>
      <c r="G40" s="41">
        <f t="shared" si="13"/>
        <v>2971.714384170531</v>
      </c>
      <c r="H40" s="41">
        <f t="shared" si="14"/>
        <v>3566.0572610046374</v>
      </c>
      <c r="I40" s="41">
        <f t="shared" si="15"/>
        <v>51303.283509009249</v>
      </c>
      <c r="J40" s="41">
        <f t="shared" si="16"/>
        <v>1013416.0651100927</v>
      </c>
      <c r="K40" s="41">
        <f t="shared" si="17"/>
        <v>30402.48195330278</v>
      </c>
      <c r="L40" s="41">
        <f t="shared" si="18"/>
        <v>548823.9576498603</v>
      </c>
      <c r="M40" s="41">
        <f t="shared" si="19"/>
        <v>59033.945540393761</v>
      </c>
      <c r="N40" s="41">
        <f t="shared" si="20"/>
        <v>300</v>
      </c>
      <c r="O40" s="41">
        <f t="shared" si="21"/>
        <v>59333.945540393761</v>
      </c>
      <c r="P40" s="41">
        <f t="shared" si="22"/>
        <v>-8030.6620313845124</v>
      </c>
      <c r="Q40" s="41">
        <f t="shared" si="28"/>
        <v>515607.78178278322</v>
      </c>
      <c r="R40" s="41">
        <f t="shared" si="23"/>
        <v>371465.65736179065</v>
      </c>
      <c r="S40" s="41">
        <f t="shared" si="24"/>
        <v>348983.64207888558</v>
      </c>
      <c r="T40" s="41">
        <f t="shared" si="25"/>
        <v>22482.015282905078</v>
      </c>
      <c r="U40" s="33">
        <f t="shared" si="26"/>
        <v>1</v>
      </c>
      <c r="W40" s="14">
        <v>35</v>
      </c>
      <c r="X40" s="15">
        <f t="shared" si="29"/>
        <v>395857.71958163119</v>
      </c>
      <c r="Y40" s="16">
        <f t="shared" si="30"/>
        <v>204632.29847457752</v>
      </c>
      <c r="Z40" s="16">
        <f t="shared" si="31"/>
        <v>191225.42110705367</v>
      </c>
      <c r="AA40" s="17">
        <f t="shared" si="32"/>
        <v>1</v>
      </c>
    </row>
    <row r="41" spans="1:27">
      <c r="A41" s="31">
        <f t="shared" si="27"/>
        <v>9</v>
      </c>
      <c r="B41" s="32">
        <f t="shared" si="8"/>
        <v>0.64460891621779726</v>
      </c>
      <c r="C41" s="41">
        <f t="shared" si="9"/>
        <v>1043818.5470633956</v>
      </c>
      <c r="D41" s="41">
        <f t="shared" si="10"/>
        <v>423741.95577454596</v>
      </c>
      <c r="E41" s="41">
        <f t="shared" si="11"/>
        <v>34067.34008082017</v>
      </c>
      <c r="F41" s="41">
        <f t="shared" si="12"/>
        <v>10965.626077589259</v>
      </c>
      <c r="G41" s="41">
        <f t="shared" si="13"/>
        <v>3046.0072437747945</v>
      </c>
      <c r="H41" s="41">
        <f t="shared" si="14"/>
        <v>3655.2086925297531</v>
      </c>
      <c r="I41" s="41">
        <f t="shared" si="15"/>
        <v>51734.182094713979</v>
      </c>
      <c r="J41" s="41">
        <f t="shared" si="16"/>
        <v>1043818.5470633956</v>
      </c>
      <c r="K41" s="41">
        <f t="shared" si="17"/>
        <v>31314.556411901867</v>
      </c>
      <c r="L41" s="41">
        <f t="shared" si="18"/>
        <v>588762.03487694776</v>
      </c>
      <c r="M41" s="41">
        <f t="shared" si="19"/>
        <v>60804.963906605568</v>
      </c>
      <c r="N41" s="41">
        <f t="shared" si="20"/>
        <v>300</v>
      </c>
      <c r="O41" s="41">
        <f t="shared" si="21"/>
        <v>61104.963906605568</v>
      </c>
      <c r="P41" s="41">
        <f t="shared" si="22"/>
        <v>-9370.7818118915893</v>
      </c>
      <c r="Q41" s="41">
        <f t="shared" si="28"/>
        <v>542329.54469568643</v>
      </c>
      <c r="R41" s="41">
        <f t="shared" si="23"/>
        <v>379521.25721221423</v>
      </c>
      <c r="S41" s="41">
        <f t="shared" si="24"/>
        <v>349590.46003917791</v>
      </c>
      <c r="T41" s="41">
        <f t="shared" si="25"/>
        <v>29930.797173036321</v>
      </c>
      <c r="U41" s="33">
        <f t="shared" si="26"/>
        <v>1</v>
      </c>
      <c r="W41" s="14">
        <v>36</v>
      </c>
      <c r="X41" s="15">
        <f t="shared" si="29"/>
        <v>388317.57254198106</v>
      </c>
      <c r="Y41" s="16">
        <f t="shared" si="30"/>
        <v>191099.61326669485</v>
      </c>
      <c r="Z41" s="16">
        <f t="shared" si="31"/>
        <v>197217.95927528621</v>
      </c>
      <c r="AA41" s="17">
        <f t="shared" si="32"/>
        <v>1</v>
      </c>
    </row>
    <row r="42" spans="1:27">
      <c r="A42" s="31">
        <f t="shared" si="27"/>
        <v>10</v>
      </c>
      <c r="B42" s="32">
        <f t="shared" si="8"/>
        <v>0.61391325354075932</v>
      </c>
      <c r="C42" s="41">
        <f t="shared" si="9"/>
        <v>1075133.1034752973</v>
      </c>
      <c r="D42" s="41">
        <f t="shared" si="10"/>
        <v>412704.95534654381</v>
      </c>
      <c r="E42" s="41">
        <f t="shared" si="11"/>
        <v>34067.34008082017</v>
      </c>
      <c r="F42" s="41">
        <f t="shared" si="12"/>
        <v>11239.766729528988</v>
      </c>
      <c r="G42" s="41">
        <f t="shared" si="13"/>
        <v>3122.1574248691636</v>
      </c>
      <c r="H42" s="41">
        <f t="shared" si="14"/>
        <v>3746.5889098429961</v>
      </c>
      <c r="I42" s="41">
        <f t="shared" si="15"/>
        <v>52175.853145061315</v>
      </c>
      <c r="J42" s="41">
        <f t="shared" si="16"/>
        <v>1075133.1034752973</v>
      </c>
      <c r="K42" s="41">
        <f t="shared" si="17"/>
        <v>32253.99310425892</v>
      </c>
      <c r="L42" s="41">
        <f t="shared" si="18"/>
        <v>630174.15502449463</v>
      </c>
      <c r="M42" s="41">
        <f t="shared" si="19"/>
        <v>62629.112823803734</v>
      </c>
      <c r="N42" s="41">
        <f t="shared" si="20"/>
        <v>300</v>
      </c>
      <c r="O42" s="41">
        <f t="shared" si="21"/>
        <v>62929.112823803734</v>
      </c>
      <c r="P42" s="41">
        <f t="shared" si="22"/>
        <v>-10753.259678742419</v>
      </c>
      <c r="Q42" s="41">
        <f t="shared" si="28"/>
        <v>569539.35314564209</v>
      </c>
      <c r="R42" s="41">
        <f t="shared" si="23"/>
        <v>386872.26580838632</v>
      </c>
      <c r="S42" s="41">
        <f t="shared" si="24"/>
        <v>349647.75730914064</v>
      </c>
      <c r="T42" s="41">
        <f t="shared" si="25"/>
        <v>37224.508499245683</v>
      </c>
      <c r="U42" s="33">
        <f t="shared" si="26"/>
        <v>1</v>
      </c>
      <c r="W42" s="14">
        <v>37</v>
      </c>
      <c r="X42" s="15">
        <f t="shared" si="29"/>
        <v>380921.04735070519</v>
      </c>
      <c r="Y42" s="16">
        <f t="shared" si="30"/>
        <v>177614.35862676479</v>
      </c>
      <c r="Z42" s="16">
        <f t="shared" si="31"/>
        <v>203306.6887239404</v>
      </c>
      <c r="AA42" s="17">
        <f t="shared" si="32"/>
        <v>1</v>
      </c>
    </row>
    <row r="43" spans="1:27">
      <c r="A43" s="31">
        <f t="shared" si="27"/>
        <v>11</v>
      </c>
      <c r="B43" s="32">
        <f t="shared" si="8"/>
        <v>0.5846792890864374</v>
      </c>
      <c r="C43" s="41">
        <f t="shared" si="9"/>
        <v>1107387.0965795564</v>
      </c>
      <c r="D43" s="41">
        <f t="shared" si="10"/>
        <v>401045.38133932377</v>
      </c>
      <c r="E43" s="41">
        <f t="shared" si="11"/>
        <v>34067.34008082017</v>
      </c>
      <c r="F43" s="41">
        <f t="shared" si="12"/>
        <v>11520.760897767213</v>
      </c>
      <c r="G43" s="41">
        <f t="shared" si="13"/>
        <v>3200.2113604908927</v>
      </c>
      <c r="H43" s="41">
        <f t="shared" si="14"/>
        <v>3840.2536325890715</v>
      </c>
      <c r="I43" s="41">
        <f t="shared" si="15"/>
        <v>52628.565971667347</v>
      </c>
      <c r="J43" s="41">
        <f t="shared" si="16"/>
        <v>1107387.0965795564</v>
      </c>
      <c r="K43" s="41">
        <f t="shared" si="17"/>
        <v>33221.612897386687</v>
      </c>
      <c r="L43" s="41">
        <f t="shared" si="18"/>
        <v>673120.10234284587</v>
      </c>
      <c r="M43" s="41">
        <f t="shared" si="19"/>
        <v>64507.986208517847</v>
      </c>
      <c r="N43" s="41">
        <f t="shared" si="20"/>
        <v>300</v>
      </c>
      <c r="O43" s="41">
        <f t="shared" si="21"/>
        <v>64807.986208517847</v>
      </c>
      <c r="P43" s="41">
        <f t="shared" si="22"/>
        <v>-12179.420236850499</v>
      </c>
      <c r="Q43" s="41">
        <f t="shared" si="28"/>
        <v>597227.68762898655</v>
      </c>
      <c r="R43" s="41">
        <f t="shared" si="23"/>
        <v>393559.38290760509</v>
      </c>
      <c r="S43" s="41">
        <f t="shared" si="24"/>
        <v>349186.65982565278</v>
      </c>
      <c r="T43" s="41">
        <f t="shared" si="25"/>
        <v>44372.72308195231</v>
      </c>
      <c r="U43" s="33">
        <f t="shared" si="26"/>
        <v>1</v>
      </c>
      <c r="W43" s="14">
        <v>38</v>
      </c>
      <c r="X43" s="15">
        <f t="shared" si="29"/>
        <v>373665.40835354896</v>
      </c>
      <c r="Y43" s="16">
        <f t="shared" si="30"/>
        <v>164172.22789231388</v>
      </c>
      <c r="Z43" s="16">
        <f t="shared" si="31"/>
        <v>209493.18046123508</v>
      </c>
      <c r="AA43" s="17">
        <f t="shared" si="32"/>
        <v>1</v>
      </c>
    </row>
    <row r="44" spans="1:27">
      <c r="A44" s="31">
        <f t="shared" si="27"/>
        <v>12</v>
      </c>
      <c r="B44" s="32">
        <f t="shared" si="8"/>
        <v>0.5568374181775595</v>
      </c>
      <c r="C44" s="41">
        <f t="shared" si="9"/>
        <v>1140608.7094769429</v>
      </c>
      <c r="D44" s="41">
        <f t="shared" si="10"/>
        <v>388728.11570934963</v>
      </c>
      <c r="E44" s="41">
        <f t="shared" si="11"/>
        <v>34067.34008082017</v>
      </c>
      <c r="F44" s="41">
        <f t="shared" si="12"/>
        <v>11808.779920211395</v>
      </c>
      <c r="G44" s="41">
        <f t="shared" si="13"/>
        <v>3280.2166445031648</v>
      </c>
      <c r="H44" s="41">
        <f t="shared" si="14"/>
        <v>3936.2599734037981</v>
      </c>
      <c r="I44" s="41">
        <f t="shared" si="15"/>
        <v>53092.596618938529</v>
      </c>
      <c r="J44" s="41">
        <f t="shared" si="16"/>
        <v>1140608.7094769429</v>
      </c>
      <c r="K44" s="41">
        <f t="shared" si="17"/>
        <v>34218.261284308282</v>
      </c>
      <c r="L44" s="41">
        <f t="shared" si="18"/>
        <v>717662.33248328499</v>
      </c>
      <c r="M44" s="41">
        <f t="shared" si="19"/>
        <v>66443.225794773389</v>
      </c>
      <c r="N44" s="41">
        <f t="shared" si="20"/>
        <v>300</v>
      </c>
      <c r="O44" s="41">
        <f t="shared" si="21"/>
        <v>66743.225794773389</v>
      </c>
      <c r="P44" s="41">
        <f t="shared" si="22"/>
        <v>-13650.62917583486</v>
      </c>
      <c r="Q44" s="41">
        <f t="shared" si="28"/>
        <v>625382.99658718077</v>
      </c>
      <c r="R44" s="41">
        <f t="shared" si="23"/>
        <v>399621.24034327769</v>
      </c>
      <c r="S44" s="41">
        <f t="shared" si="24"/>
        <v>348236.65319175128</v>
      </c>
      <c r="T44" s="41">
        <f t="shared" si="25"/>
        <v>51384.587151526415</v>
      </c>
      <c r="U44" s="33">
        <f t="shared" si="26"/>
        <v>1</v>
      </c>
      <c r="W44" s="14">
        <v>39</v>
      </c>
      <c r="X44" s="15">
        <f t="shared" si="29"/>
        <v>366547.97200395755</v>
      </c>
      <c r="Y44" s="16">
        <f t="shared" si="30"/>
        <v>150768.91892631215</v>
      </c>
      <c r="Z44" s="16">
        <f t="shared" si="31"/>
        <v>215779.0530776454</v>
      </c>
      <c r="AA44" s="17">
        <f t="shared" si="32"/>
        <v>1</v>
      </c>
    </row>
    <row r="45" spans="1:27">
      <c r="A45" s="31">
        <f t="shared" si="27"/>
        <v>13</v>
      </c>
      <c r="B45" s="32">
        <f t="shared" si="8"/>
        <v>0.53032135064529462</v>
      </c>
      <c r="C45" s="41">
        <f t="shared" si="9"/>
        <v>1174826.9707612512</v>
      </c>
      <c r="D45" s="41">
        <f t="shared" si="10"/>
        <v>375716.05947938829</v>
      </c>
      <c r="E45" s="41">
        <f t="shared" si="11"/>
        <v>34067.34008082017</v>
      </c>
      <c r="F45" s="41">
        <f t="shared" si="12"/>
        <v>12103.999418216677</v>
      </c>
      <c r="G45" s="41">
        <f t="shared" si="13"/>
        <v>3362.2220606157439</v>
      </c>
      <c r="H45" s="41">
        <f t="shared" si="14"/>
        <v>4034.6664727388925</v>
      </c>
      <c r="I45" s="41">
        <f t="shared" si="15"/>
        <v>53568.228032391482</v>
      </c>
      <c r="J45" s="41">
        <f t="shared" si="16"/>
        <v>1174826.9707612512</v>
      </c>
      <c r="K45" s="41">
        <f t="shared" si="17"/>
        <v>35244.809122837534</v>
      </c>
      <c r="L45" s="41">
        <f t="shared" si="18"/>
        <v>763866.10215902526</v>
      </c>
      <c r="M45" s="41">
        <f t="shared" si="19"/>
        <v>68436.52256861658</v>
      </c>
      <c r="N45" s="41">
        <f t="shared" si="20"/>
        <v>300</v>
      </c>
      <c r="O45" s="41">
        <f t="shared" si="21"/>
        <v>68736.52256861658</v>
      </c>
      <c r="P45" s="41">
        <f t="shared" si="22"/>
        <v>-15168.294536225098</v>
      </c>
      <c r="Q45" s="41">
        <f t="shared" si="28"/>
        <v>653991.51181205828</v>
      </c>
      <c r="R45" s="41">
        <f t="shared" si="23"/>
        <v>405094.50300913095</v>
      </c>
      <c r="S45" s="41">
        <f t="shared" si="24"/>
        <v>346825.66185472894</v>
      </c>
      <c r="T45" s="41">
        <f t="shared" si="25"/>
        <v>58268.841154402005</v>
      </c>
      <c r="U45" s="33">
        <f t="shared" si="26"/>
        <v>1</v>
      </c>
      <c r="W45" s="14">
        <v>40</v>
      </c>
      <c r="X45" s="15">
        <f t="shared" si="29"/>
        <v>359566.10587054875</v>
      </c>
      <c r="Y45" s="16">
        <f t="shared" si="30"/>
        <v>137400.1327767394</v>
      </c>
      <c r="Z45" s="16">
        <f t="shared" si="31"/>
        <v>222165.97309380936</v>
      </c>
      <c r="AA45" s="17">
        <f t="shared" si="32"/>
        <v>1</v>
      </c>
    </row>
    <row r="46" spans="1:27">
      <c r="A46" s="31">
        <f t="shared" si="27"/>
        <v>14</v>
      </c>
      <c r="B46" s="32">
        <f t="shared" si="8"/>
        <v>0.50506795299551888</v>
      </c>
      <c r="C46" s="41">
        <f t="shared" si="9"/>
        <v>1210071.7798840888</v>
      </c>
      <c r="D46" s="41">
        <f t="shared" si="10"/>
        <v>361970.02099827852</v>
      </c>
      <c r="E46" s="41">
        <f t="shared" si="11"/>
        <v>34067.34008082017</v>
      </c>
      <c r="F46" s="41">
        <f t="shared" si="12"/>
        <v>12406.599403672095</v>
      </c>
      <c r="G46" s="41">
        <f t="shared" si="13"/>
        <v>3446.2776121311372</v>
      </c>
      <c r="H46" s="41">
        <f t="shared" si="14"/>
        <v>4135.533134557365</v>
      </c>
      <c r="I46" s="41">
        <f t="shared" si="15"/>
        <v>54055.750231180769</v>
      </c>
      <c r="J46" s="41">
        <f t="shared" si="16"/>
        <v>1210071.7798840888</v>
      </c>
      <c r="K46" s="41">
        <f t="shared" si="17"/>
        <v>36302.153396522663</v>
      </c>
      <c r="L46" s="41">
        <f t="shared" si="18"/>
        <v>811799.60548928764</v>
      </c>
      <c r="M46" s="41">
        <f t="shared" si="19"/>
        <v>70489.618245675068</v>
      </c>
      <c r="N46" s="41">
        <f t="shared" si="20"/>
        <v>300</v>
      </c>
      <c r="O46" s="41">
        <f t="shared" si="21"/>
        <v>70789.618245675068</v>
      </c>
      <c r="P46" s="41">
        <f t="shared" si="22"/>
        <v>-16733.868014494299</v>
      </c>
      <c r="Q46" s="41">
        <f t="shared" si="28"/>
        <v>683037.04962440813</v>
      </c>
      <c r="R46" s="41">
        <f t="shared" si="23"/>
        <v>410013.96498704428</v>
      </c>
      <c r="S46" s="41">
        <f t="shared" si="24"/>
        <v>344980.12447389844</v>
      </c>
      <c r="T46" s="41">
        <f t="shared" si="25"/>
        <v>65033.840513145842</v>
      </c>
      <c r="U46" s="33">
        <f t="shared" si="26"/>
        <v>1</v>
      </c>
      <c r="W46" s="14">
        <v>41</v>
      </c>
      <c r="X46" s="15">
        <f t="shared" si="29"/>
        <v>352717.22766349069</v>
      </c>
      <c r="Y46" s="16">
        <f t="shared" si="30"/>
        <v>124061.57233630984</v>
      </c>
      <c r="Z46" s="16">
        <f t="shared" si="31"/>
        <v>228655.65532718087</v>
      </c>
      <c r="AA46" s="17">
        <f t="shared" si="32"/>
        <v>1</v>
      </c>
    </row>
    <row r="47" spans="1:27">
      <c r="A47" s="31">
        <f t="shared" si="27"/>
        <v>15</v>
      </c>
      <c r="B47" s="32">
        <f t="shared" si="8"/>
        <v>0.48101709809097021</v>
      </c>
      <c r="C47" s="41">
        <f t="shared" si="9"/>
        <v>1246373.9332806116</v>
      </c>
      <c r="D47" s="41">
        <f t="shared" si="10"/>
        <v>347448.59789767221</v>
      </c>
      <c r="E47" s="41">
        <f t="shared" si="11"/>
        <v>34067.34008082017</v>
      </c>
      <c r="F47" s="41">
        <f t="shared" si="12"/>
        <v>12716.764388763895</v>
      </c>
      <c r="G47" s="41">
        <f t="shared" si="13"/>
        <v>3532.4345524344153</v>
      </c>
      <c r="H47" s="41">
        <f t="shared" si="14"/>
        <v>4238.9214629212984</v>
      </c>
      <c r="I47" s="41">
        <f t="shared" si="15"/>
        <v>54555.460484939787</v>
      </c>
      <c r="J47" s="41">
        <f t="shared" si="16"/>
        <v>1246373.9332806116</v>
      </c>
      <c r="K47" s="41">
        <f t="shared" si="17"/>
        <v>37391.217998418346</v>
      </c>
      <c r="L47" s="41">
        <f t="shared" si="18"/>
        <v>861534.11738452117</v>
      </c>
      <c r="M47" s="41">
        <f t="shared" si="19"/>
        <v>72604.306793045325</v>
      </c>
      <c r="N47" s="41">
        <f t="shared" si="20"/>
        <v>300</v>
      </c>
      <c r="O47" s="41">
        <f t="shared" si="21"/>
        <v>72904.306793045325</v>
      </c>
      <c r="P47" s="41">
        <f t="shared" si="22"/>
        <v>-18348.846308105538</v>
      </c>
      <c r="Q47" s="41">
        <f t="shared" si="28"/>
        <v>712500.79679001123</v>
      </c>
      <c r="R47" s="41">
        <f t="shared" si="23"/>
        <v>414412.64105066762</v>
      </c>
      <c r="S47" s="41">
        <f t="shared" si="24"/>
        <v>342725.06565943523</v>
      </c>
      <c r="T47" s="41">
        <f t="shared" si="25"/>
        <v>71687.575391232385</v>
      </c>
      <c r="U47" s="33">
        <f t="shared" si="26"/>
        <v>1</v>
      </c>
      <c r="W47" s="14">
        <v>42</v>
      </c>
      <c r="X47" s="15">
        <f t="shared" si="29"/>
        <v>345998.80427942419</v>
      </c>
      <c r="Y47" s="16">
        <f t="shared" si="30"/>
        <v>110748.94100172423</v>
      </c>
      <c r="Z47" s="16">
        <f t="shared" si="31"/>
        <v>235249.86327769997</v>
      </c>
      <c r="AA47" s="17">
        <f t="shared" si="32"/>
        <v>1</v>
      </c>
    </row>
    <row r="48" spans="1:27">
      <c r="A48" s="31">
        <f t="shared" si="27"/>
        <v>16</v>
      </c>
      <c r="B48" s="32">
        <f t="shared" si="8"/>
        <v>0.45811152199140021</v>
      </c>
      <c r="C48" s="41">
        <f t="shared" si="9"/>
        <v>1283765.1512790297</v>
      </c>
      <c r="D48" s="41">
        <f t="shared" si="10"/>
        <v>332108.05239020754</v>
      </c>
      <c r="E48" s="41">
        <f t="shared" si="11"/>
        <v>34067.34008082017</v>
      </c>
      <c r="F48" s="41">
        <f t="shared" si="12"/>
        <v>13034.683498482995</v>
      </c>
      <c r="G48" s="41">
        <f t="shared" si="13"/>
        <v>3620.7454162452764</v>
      </c>
      <c r="H48" s="41">
        <f t="shared" si="14"/>
        <v>4344.8944994943313</v>
      </c>
      <c r="I48" s="41">
        <f t="shared" si="15"/>
        <v>55067.663495042769</v>
      </c>
      <c r="J48" s="41">
        <f t="shared" si="16"/>
        <v>1283765.1512790297</v>
      </c>
      <c r="K48" s="41">
        <f t="shared" si="17"/>
        <v>38512.95453837089</v>
      </c>
      <c r="L48" s="41">
        <f t="shared" si="18"/>
        <v>913144.14435045118</v>
      </c>
      <c r="M48" s="41">
        <f t="shared" si="19"/>
        <v>74782.435996836692</v>
      </c>
      <c r="N48" s="41">
        <f t="shared" si="20"/>
        <v>300</v>
      </c>
      <c r="O48" s="41">
        <f t="shared" si="21"/>
        <v>75082.435996836692</v>
      </c>
      <c r="P48" s="41">
        <f t="shared" si="22"/>
        <v>-20014.772501793923</v>
      </c>
      <c r="Q48" s="41">
        <f t="shared" si="28"/>
        <v>742361.08006351814</v>
      </c>
      <c r="R48" s="41">
        <f t="shared" si="23"/>
        <v>418321.85376592004</v>
      </c>
      <c r="S48" s="41">
        <f t="shared" si="24"/>
        <v>340084.16425507801</v>
      </c>
      <c r="T48" s="41">
        <f t="shared" si="25"/>
        <v>78237.689510842029</v>
      </c>
      <c r="U48" s="33">
        <f t="shared" si="26"/>
        <v>1</v>
      </c>
      <c r="W48" s="14">
        <v>43</v>
      </c>
      <c r="X48" s="15">
        <f t="shared" si="29"/>
        <v>339408.35086457798</v>
      </c>
      <c r="Y48" s="16">
        <f t="shared" si="30"/>
        <v>97457.941331828857</v>
      </c>
      <c r="Z48" s="16">
        <f t="shared" si="31"/>
        <v>241950.40953274912</v>
      </c>
      <c r="AA48" s="17">
        <f t="shared" si="32"/>
        <v>1</v>
      </c>
    </row>
    <row r="49" spans="1:27">
      <c r="A49" s="31">
        <f t="shared" si="27"/>
        <v>17</v>
      </c>
      <c r="B49" s="32">
        <f t="shared" si="8"/>
        <v>0.43629668761085727</v>
      </c>
      <c r="C49" s="41">
        <f t="shared" si="9"/>
        <v>1322278.1058174006</v>
      </c>
      <c r="D49" s="41">
        <f t="shared" si="10"/>
        <v>315902.1795335199</v>
      </c>
      <c r="E49" s="41">
        <f t="shared" si="11"/>
        <v>34067.34008082017</v>
      </c>
      <c r="F49" s="41">
        <f t="shared" si="12"/>
        <v>13360.550585945068</v>
      </c>
      <c r="G49" s="41">
        <f t="shared" si="13"/>
        <v>3711.264051651408</v>
      </c>
      <c r="H49" s="41">
        <f t="shared" si="14"/>
        <v>4453.5168619816895</v>
      </c>
      <c r="I49" s="41">
        <f t="shared" si="15"/>
        <v>55592.671580398332</v>
      </c>
      <c r="J49" s="41">
        <f t="shared" si="16"/>
        <v>1322278.1058174006</v>
      </c>
      <c r="K49" s="41">
        <f t="shared" si="17"/>
        <v>39668.343174522015</v>
      </c>
      <c r="L49" s="41">
        <f t="shared" si="18"/>
        <v>966707.58310935867</v>
      </c>
      <c r="M49" s="41">
        <f t="shared" si="19"/>
        <v>77025.90907674178</v>
      </c>
      <c r="N49" s="41">
        <f t="shared" si="20"/>
        <v>300</v>
      </c>
      <c r="O49" s="41">
        <f t="shared" si="21"/>
        <v>77325.90907674178</v>
      </c>
      <c r="P49" s="41">
        <f t="shared" si="22"/>
        <v>-21733.237496343449</v>
      </c>
      <c r="Q49" s="41">
        <f t="shared" si="28"/>
        <v>772593.118171621</v>
      </c>
      <c r="R49" s="41">
        <f t="shared" si="23"/>
        <v>421771.31639891071</v>
      </c>
      <c r="S49" s="41">
        <f t="shared" si="24"/>
        <v>337079.81832922186</v>
      </c>
      <c r="T49" s="41">
        <f t="shared" si="25"/>
        <v>84691.498069688852</v>
      </c>
      <c r="U49" s="33">
        <f t="shared" si="26"/>
        <v>1</v>
      </c>
      <c r="W49" s="14">
        <v>44</v>
      </c>
      <c r="X49" s="15">
        <f t="shared" si="29"/>
        <v>332943.42989572888</v>
      </c>
      <c r="Y49" s="16">
        <f t="shared" si="30"/>
        <v>84184.273704072693</v>
      </c>
      <c r="Z49" s="16">
        <f t="shared" si="31"/>
        <v>248759.15619165619</v>
      </c>
      <c r="AA49" s="17">
        <f t="shared" si="32"/>
        <v>1</v>
      </c>
    </row>
    <row r="50" spans="1:27">
      <c r="A50" s="31">
        <f t="shared" si="27"/>
        <v>18</v>
      </c>
      <c r="B50" s="32">
        <f t="shared" si="8"/>
        <v>0.41552065486748313</v>
      </c>
      <c r="C50" s="41">
        <f t="shared" si="9"/>
        <v>1361946.4489919227</v>
      </c>
      <c r="D50" s="41">
        <f t="shared" si="10"/>
        <v>298782.16806330648</v>
      </c>
      <c r="E50" s="41">
        <f t="shared" si="11"/>
        <v>34067.34008082017</v>
      </c>
      <c r="F50" s="41">
        <f t="shared" si="12"/>
        <v>13694.564350593693</v>
      </c>
      <c r="G50" s="41">
        <f t="shared" si="13"/>
        <v>3804.0456529426924</v>
      </c>
      <c r="H50" s="41">
        <f t="shared" si="14"/>
        <v>4564.8547835312311</v>
      </c>
      <c r="I50" s="41">
        <f t="shared" si="15"/>
        <v>56130.804867887782</v>
      </c>
      <c r="J50" s="41">
        <f t="shared" si="16"/>
        <v>1361946.4489919227</v>
      </c>
      <c r="K50" s="41">
        <f t="shared" si="17"/>
        <v>40858.393469757677</v>
      </c>
      <c r="L50" s="41">
        <f t="shared" si="18"/>
        <v>1022305.8874588585</v>
      </c>
      <c r="M50" s="41">
        <f t="shared" si="19"/>
        <v>79336.68634904403</v>
      </c>
      <c r="N50" s="41">
        <f t="shared" si="20"/>
        <v>300</v>
      </c>
      <c r="O50" s="41">
        <f t="shared" si="21"/>
        <v>79636.68634904403</v>
      </c>
      <c r="P50" s="41">
        <f t="shared" si="22"/>
        <v>-23505.881481156248</v>
      </c>
      <c r="Q50" s="41">
        <f t="shared" si="28"/>
        <v>803168.7549624783</v>
      </c>
      <c r="R50" s="41">
        <f t="shared" si="23"/>
        <v>424789.21183178842</v>
      </c>
      <c r="S50" s="41">
        <f t="shared" si="24"/>
        <v>333733.20703111007</v>
      </c>
      <c r="T50" s="41">
        <f t="shared" si="25"/>
        <v>91056.004800678347</v>
      </c>
      <c r="U50" s="33">
        <f t="shared" si="26"/>
        <v>1</v>
      </c>
      <c r="W50" s="14">
        <v>45</v>
      </c>
      <c r="X50" s="15">
        <f t="shared" si="29"/>
        <v>326601.65027866734</v>
      </c>
      <c r="Y50" s="16">
        <f t="shared" si="30"/>
        <v>70923.634968664046</v>
      </c>
      <c r="Z50" s="16">
        <f t="shared" si="31"/>
        <v>255678.01531000331</v>
      </c>
      <c r="AA50" s="17">
        <f t="shared" si="32"/>
        <v>1</v>
      </c>
    </row>
    <row r="51" spans="1:27">
      <c r="A51" s="31">
        <f t="shared" si="27"/>
        <v>19</v>
      </c>
      <c r="B51" s="32">
        <f t="shared" si="8"/>
        <v>0.39573395701665059</v>
      </c>
      <c r="C51" s="41">
        <f t="shared" si="9"/>
        <v>1402804.8424616803</v>
      </c>
      <c r="D51" s="41">
        <f t="shared" si="10"/>
        <v>280696.45337628247</v>
      </c>
      <c r="E51" s="41">
        <f t="shared" si="11"/>
        <v>34067.34008082017</v>
      </c>
      <c r="F51" s="41">
        <f t="shared" si="12"/>
        <v>14036.928459358536</v>
      </c>
      <c r="G51" s="41">
        <f t="shared" si="13"/>
        <v>3899.1467942662598</v>
      </c>
      <c r="H51" s="41">
        <f t="shared" si="14"/>
        <v>4678.9761531195118</v>
      </c>
      <c r="I51" s="41">
        <f t="shared" si="15"/>
        <v>56682.39148756447</v>
      </c>
      <c r="J51" s="41">
        <f t="shared" si="16"/>
        <v>1402804.8424616803</v>
      </c>
      <c r="K51" s="41">
        <f t="shared" si="17"/>
        <v>42084.145273850409</v>
      </c>
      <c r="L51" s="41">
        <f t="shared" si="18"/>
        <v>1080024.2438115475</v>
      </c>
      <c r="M51" s="41">
        <f t="shared" si="19"/>
        <v>81716.786939515354</v>
      </c>
      <c r="N51" s="41">
        <f t="shared" si="20"/>
        <v>300</v>
      </c>
      <c r="O51" s="41">
        <f t="shared" si="21"/>
        <v>82016.786939515354</v>
      </c>
      <c r="P51" s="41">
        <f t="shared" si="22"/>
        <v>-25334.395451950884</v>
      </c>
      <c r="Q51" s="41">
        <f t="shared" si="28"/>
        <v>834056.172357901</v>
      </c>
      <c r="R51" s="41">
        <f t="shared" si="23"/>
        <v>427402.26767745952</v>
      </c>
      <c r="S51" s="41">
        <f t="shared" si="24"/>
        <v>330064.34946135373</v>
      </c>
      <c r="T51" s="41">
        <f t="shared" si="25"/>
        <v>97337.918216105783</v>
      </c>
      <c r="U51" s="33">
        <f t="shared" si="26"/>
        <v>1</v>
      </c>
      <c r="W51" s="14">
        <v>46</v>
      </c>
      <c r="X51" s="15">
        <f t="shared" si="29"/>
        <v>320380.66646383563</v>
      </c>
      <c r="Y51" s="16">
        <f t="shared" si="30"/>
        <v>57671.717099838243</v>
      </c>
      <c r="Z51" s="16">
        <f t="shared" si="31"/>
        <v>262708.94936399738</v>
      </c>
      <c r="AA51" s="17">
        <f t="shared" si="32"/>
        <v>1</v>
      </c>
    </row>
    <row r="52" spans="1:27">
      <c r="A52" s="31">
        <f t="shared" si="27"/>
        <v>20</v>
      </c>
      <c r="B52" s="32">
        <f t="shared" si="8"/>
        <v>0.37688948287300061</v>
      </c>
      <c r="C52" s="41">
        <f t="shared" si="9"/>
        <v>1444888.9877355306</v>
      </c>
      <c r="D52" s="41">
        <f t="shared" si="10"/>
        <v>261590.56222022022</v>
      </c>
      <c r="E52" s="41">
        <f t="shared" si="11"/>
        <v>34067.34008082017</v>
      </c>
      <c r="F52" s="41">
        <f t="shared" si="12"/>
        <v>14387.8516708425</v>
      </c>
      <c r="G52" s="41">
        <f t="shared" si="13"/>
        <v>3996.6254641229166</v>
      </c>
      <c r="H52" s="41">
        <f t="shared" si="14"/>
        <v>4795.9505569474995</v>
      </c>
      <c r="I52" s="41">
        <f t="shared" si="15"/>
        <v>57247.767772733088</v>
      </c>
      <c r="J52" s="41">
        <f t="shared" si="16"/>
        <v>1444888.9877355306</v>
      </c>
      <c r="K52" s="41">
        <f t="shared" si="17"/>
        <v>43346.669632065918</v>
      </c>
      <c r="L52" s="41">
        <f t="shared" si="18"/>
        <v>1139951.7558832446</v>
      </c>
      <c r="M52" s="41">
        <f t="shared" si="19"/>
        <v>84168.290547700817</v>
      </c>
      <c r="N52" s="41">
        <f t="shared" si="20"/>
        <v>300</v>
      </c>
      <c r="O52" s="41">
        <f t="shared" si="21"/>
        <v>84468.290547700817</v>
      </c>
      <c r="P52" s="41">
        <f t="shared" si="22"/>
        <v>-27220.522774967729</v>
      </c>
      <c r="Q52" s="41">
        <f t="shared" si="28"/>
        <v>865219.58164798643</v>
      </c>
      <c r="R52" s="41">
        <f t="shared" si="23"/>
        <v>429635.82777500508</v>
      </c>
      <c r="S52" s="41">
        <f t="shared" si="24"/>
        <v>326092.16069890355</v>
      </c>
      <c r="T52" s="41">
        <f t="shared" si="25"/>
        <v>103543.66707610153</v>
      </c>
      <c r="U52" s="33">
        <f t="shared" si="26"/>
        <v>1</v>
      </c>
      <c r="W52" s="14">
        <v>47</v>
      </c>
      <c r="X52" s="15">
        <f t="shared" si="29"/>
        <v>314278.17757881019</v>
      </c>
      <c r="Y52" s="16">
        <f t="shared" si="30"/>
        <v>44424.205843655225</v>
      </c>
      <c r="Z52" s="16">
        <f t="shared" si="31"/>
        <v>269853.97173515498</v>
      </c>
      <c r="AA52" s="17">
        <f t="shared" si="32"/>
        <v>1</v>
      </c>
    </row>
    <row r="53" spans="1:27">
      <c r="A53" s="31">
        <f t="shared" si="27"/>
        <v>21</v>
      </c>
      <c r="B53" s="32">
        <f t="shared" si="8"/>
        <v>0.35894236464095297</v>
      </c>
      <c r="C53" s="41">
        <f t="shared" si="9"/>
        <v>1488235.6573675964</v>
      </c>
      <c r="D53" s="41">
        <f t="shared" si="10"/>
        <v>241406.94862328563</v>
      </c>
      <c r="E53" s="41">
        <f t="shared" si="11"/>
        <v>34067.34008082017</v>
      </c>
      <c r="F53" s="41">
        <f t="shared" si="12"/>
        <v>14747.54796261356</v>
      </c>
      <c r="G53" s="41">
        <f t="shared" si="13"/>
        <v>4096.5411007259891</v>
      </c>
      <c r="H53" s="41">
        <f t="shared" si="14"/>
        <v>4915.849320871187</v>
      </c>
      <c r="I53" s="41">
        <f t="shared" si="15"/>
        <v>57827.278465030911</v>
      </c>
      <c r="J53" s="41">
        <f t="shared" si="16"/>
        <v>1488235.6573675964</v>
      </c>
      <c r="K53" s="41">
        <f t="shared" si="17"/>
        <v>44647.069721027889</v>
      </c>
      <c r="L53" s="41">
        <f t="shared" si="18"/>
        <v>1202181.6390232828</v>
      </c>
      <c r="M53" s="41">
        <f t="shared" si="19"/>
        <v>86693.339264131835</v>
      </c>
      <c r="N53" s="41">
        <f t="shared" si="20"/>
        <v>300</v>
      </c>
      <c r="O53" s="41">
        <f t="shared" si="21"/>
        <v>86993.339264131835</v>
      </c>
      <c r="P53" s="41">
        <f t="shared" si="22"/>
        <v>-29166.060799100924</v>
      </c>
      <c r="Q53" s="41">
        <f t="shared" si="28"/>
        <v>896618.89156424464</v>
      </c>
      <c r="R53" s="41">
        <f t="shared" si="23"/>
        <v>431513.92023895367</v>
      </c>
      <c r="S53" s="41">
        <f t="shared" si="24"/>
        <v>321834.50511982018</v>
      </c>
      <c r="T53" s="41">
        <f t="shared" si="25"/>
        <v>109679.41511913348</v>
      </c>
      <c r="U53" s="33">
        <f t="shared" si="26"/>
        <v>1</v>
      </c>
      <c r="W53" s="14">
        <v>48</v>
      </c>
      <c r="X53" s="15">
        <f t="shared" si="29"/>
        <v>308291.92657730903</v>
      </c>
      <c r="Y53" s="16">
        <f t="shared" si="30"/>
        <v>31176.779361755755</v>
      </c>
      <c r="Z53" s="16">
        <f t="shared" si="31"/>
        <v>277115.14721555327</v>
      </c>
      <c r="AA53" s="17">
        <f t="shared" si="32"/>
        <v>1</v>
      </c>
    </row>
    <row r="54" spans="1:27">
      <c r="A54" s="31">
        <f t="shared" si="27"/>
        <v>22</v>
      </c>
      <c r="B54" s="32">
        <f t="shared" si="8"/>
        <v>0.3418498710866219</v>
      </c>
      <c r="C54" s="41">
        <f t="shared" si="9"/>
        <v>1532882.7270886244</v>
      </c>
      <c r="D54" s="41">
        <f t="shared" si="10"/>
        <v>220084.82056849962</v>
      </c>
      <c r="E54" s="41">
        <f t="shared" si="11"/>
        <v>34067.34008082017</v>
      </c>
      <c r="F54" s="41">
        <f t="shared" si="12"/>
        <v>15116.236661678897</v>
      </c>
      <c r="G54" s="41">
        <f t="shared" si="13"/>
        <v>4198.9546282441379</v>
      </c>
      <c r="H54" s="41">
        <f t="shared" si="14"/>
        <v>5038.7455538929662</v>
      </c>
      <c r="I54" s="41">
        <f t="shared" si="15"/>
        <v>58421.276924636164</v>
      </c>
      <c r="J54" s="41">
        <f t="shared" si="16"/>
        <v>1532882.7270886244</v>
      </c>
      <c r="K54" s="41">
        <f t="shared" si="17"/>
        <v>45986.481812658727</v>
      </c>
      <c r="L54" s="41">
        <f t="shared" si="18"/>
        <v>1266811.424707466</v>
      </c>
      <c r="M54" s="41">
        <f t="shared" si="19"/>
        <v>89294.139442055777</v>
      </c>
      <c r="N54" s="41">
        <f t="shared" si="20"/>
        <v>300</v>
      </c>
      <c r="O54" s="41">
        <f t="shared" si="21"/>
        <v>89594.139442055777</v>
      </c>
      <c r="P54" s="41">
        <f t="shared" si="22"/>
        <v>-31172.862517419613</v>
      </c>
      <c r="Q54" s="41">
        <f t="shared" si="28"/>
        <v>928209.35145632224</v>
      </c>
      <c r="R54" s="41">
        <f t="shared" si="23"/>
        <v>433059.32222730707</v>
      </c>
      <c r="S54" s="41">
        <f t="shared" si="24"/>
        <v>317308.24713674065</v>
      </c>
      <c r="T54" s="41">
        <f t="shared" si="25"/>
        <v>115751.07509056642</v>
      </c>
      <c r="U54" s="33">
        <f t="shared" si="26"/>
        <v>1</v>
      </c>
      <c r="W54" s="14">
        <v>49</v>
      </c>
      <c r="X54" s="15">
        <f t="shared" si="29"/>
        <v>302419.69940440782</v>
      </c>
      <c r="Y54" s="16">
        <f t="shared" si="30"/>
        <v>17925.10687050979</v>
      </c>
      <c r="Z54" s="16">
        <f t="shared" si="31"/>
        <v>284494.59253389802</v>
      </c>
      <c r="AA54" s="17">
        <f t="shared" si="32"/>
        <v>1</v>
      </c>
    </row>
    <row r="55" spans="1:27">
      <c r="A55" s="31">
        <f t="shared" si="27"/>
        <v>23</v>
      </c>
      <c r="B55" s="32">
        <f t="shared" si="8"/>
        <v>0.32557130579678267</v>
      </c>
      <c r="C55" s="41">
        <f t="shared" si="9"/>
        <v>1578869.2089012831</v>
      </c>
      <c r="D55" s="41">
        <f t="shared" si="10"/>
        <v>197559.95689127664</v>
      </c>
      <c r="E55" s="41">
        <f t="shared" si="11"/>
        <v>34067.34008082017</v>
      </c>
      <c r="F55" s="41">
        <f t="shared" si="12"/>
        <v>15494.14257822087</v>
      </c>
      <c r="G55" s="41">
        <f t="shared" si="13"/>
        <v>4303.9284939502413</v>
      </c>
      <c r="H55" s="41">
        <f t="shared" si="14"/>
        <v>5164.7141927402899</v>
      </c>
      <c r="I55" s="41">
        <f t="shared" si="15"/>
        <v>59030.125345731569</v>
      </c>
      <c r="J55" s="41">
        <f t="shared" si="16"/>
        <v>1578869.2089012831</v>
      </c>
      <c r="K55" s="41">
        <f t="shared" si="17"/>
        <v>47366.076267038494</v>
      </c>
      <c r="L55" s="41">
        <f t="shared" si="18"/>
        <v>1333943.175742968</v>
      </c>
      <c r="M55" s="41">
        <f t="shared" si="19"/>
        <v>91972.963625317469</v>
      </c>
      <c r="N55" s="41">
        <f t="shared" si="20"/>
        <v>300</v>
      </c>
      <c r="O55" s="41">
        <f t="shared" si="21"/>
        <v>92272.963625317469</v>
      </c>
      <c r="P55" s="41">
        <f t="shared" si="22"/>
        <v>-33242.8382795859</v>
      </c>
      <c r="Q55" s="41">
        <f t="shared" si="28"/>
        <v>959941.16777867894</v>
      </c>
      <c r="R55" s="41">
        <f t="shared" si="23"/>
        <v>434293.62158534524</v>
      </c>
      <c r="S55" s="41">
        <f t="shared" si="24"/>
        <v>312529.29948179296</v>
      </c>
      <c r="T55" s="41">
        <f t="shared" si="25"/>
        <v>121764.32210355229</v>
      </c>
      <c r="U55" s="33">
        <f t="shared" si="26"/>
        <v>1</v>
      </c>
      <c r="W55" s="21">
        <v>50</v>
      </c>
      <c r="X55" s="22">
        <f t="shared" si="29"/>
        <v>296659.3241776572</v>
      </c>
      <c r="Y55" s="23">
        <f t="shared" si="30"/>
        <v>4664.847274999207</v>
      </c>
      <c r="Z55" s="23">
        <f t="shared" si="31"/>
        <v>291994.476902658</v>
      </c>
      <c r="AA55" s="24">
        <f t="shared" si="32"/>
        <v>1</v>
      </c>
    </row>
    <row r="56" spans="1:27">
      <c r="A56" s="31">
        <f t="shared" si="27"/>
        <v>24</v>
      </c>
      <c r="B56" s="32">
        <f t="shared" si="8"/>
        <v>0.31006791028265024</v>
      </c>
      <c r="C56" s="41">
        <f t="shared" si="9"/>
        <v>1626235.2851683213</v>
      </c>
      <c r="D56" s="41">
        <f t="shared" si="10"/>
        <v>173764.51384854526</v>
      </c>
      <c r="E56" s="41">
        <f t="shared" si="11"/>
        <v>34067.34008082017</v>
      </c>
      <c r="F56" s="41">
        <f t="shared" si="12"/>
        <v>15881.496142676391</v>
      </c>
      <c r="G56" s="41">
        <f t="shared" si="13"/>
        <v>4411.5267062989979</v>
      </c>
      <c r="H56" s="41">
        <f t="shared" si="14"/>
        <v>5293.8320475587971</v>
      </c>
      <c r="I56" s="41">
        <f t="shared" si="15"/>
        <v>59654.194977354353</v>
      </c>
      <c r="J56" s="41">
        <f t="shared" si="16"/>
        <v>1626235.2851683213</v>
      </c>
      <c r="K56" s="41">
        <f t="shared" si="17"/>
        <v>48787.05855504964</v>
      </c>
      <c r="L56" s="41">
        <f t="shared" si="18"/>
        <v>1403683.7127647265</v>
      </c>
      <c r="M56" s="41">
        <f t="shared" si="19"/>
        <v>94732.152534076988</v>
      </c>
      <c r="N56" s="41">
        <f t="shared" si="20"/>
        <v>300</v>
      </c>
      <c r="O56" s="41">
        <f t="shared" si="21"/>
        <v>95032.152534076988</v>
      </c>
      <c r="P56" s="41">
        <f t="shared" si="22"/>
        <v>-35377.957556722635</v>
      </c>
      <c r="Q56" s="41">
        <f t="shared" si="28"/>
        <v>991759.09196646383</v>
      </c>
      <c r="R56" s="41">
        <f t="shared" si="23"/>
        <v>435237.27551475057</v>
      </c>
      <c r="S56" s="41">
        <f t="shared" si="24"/>
        <v>307512.66914986016</v>
      </c>
      <c r="T56" s="41">
        <f t="shared" si="25"/>
        <v>127724.60636489041</v>
      </c>
      <c r="U56" s="33">
        <f t="shared" si="26"/>
        <v>1</v>
      </c>
    </row>
    <row r="57" spans="1:27">
      <c r="A57" s="31">
        <f t="shared" si="27"/>
        <v>25</v>
      </c>
      <c r="B57" s="32">
        <f t="shared" si="8"/>
        <v>0.29530277169776209</v>
      </c>
      <c r="C57" s="41">
        <f t="shared" si="9"/>
        <v>1675022.3437233712</v>
      </c>
      <c r="D57" s="41">
        <f t="shared" si="10"/>
        <v>148626.82077684789</v>
      </c>
      <c r="E57" s="41">
        <f t="shared" si="11"/>
        <v>34067.34008082017</v>
      </c>
      <c r="F57" s="41">
        <f t="shared" si="12"/>
        <v>16278.533546243299</v>
      </c>
      <c r="G57" s="41">
        <f t="shared" si="13"/>
        <v>4521.8148739564722</v>
      </c>
      <c r="H57" s="41">
        <f t="shared" si="14"/>
        <v>5426.1778487477668</v>
      </c>
      <c r="I57" s="41">
        <f t="shared" si="15"/>
        <v>60293.866349767704</v>
      </c>
      <c r="J57" s="41">
        <f t="shared" si="16"/>
        <v>1675022.3437233712</v>
      </c>
      <c r="K57" s="41">
        <f t="shared" si="17"/>
        <v>50250.670311701135</v>
      </c>
      <c r="L57" s="41">
        <f t="shared" si="18"/>
        <v>1476144.8526348223</v>
      </c>
      <c r="M57" s="41">
        <f t="shared" si="19"/>
        <v>97574.117110099294</v>
      </c>
      <c r="N57" s="41">
        <f t="shared" si="20"/>
        <v>300</v>
      </c>
      <c r="O57" s="41">
        <f t="shared" si="21"/>
        <v>97874.117110099294</v>
      </c>
      <c r="P57" s="41">
        <f t="shared" si="22"/>
        <v>-37580.25076033159</v>
      </c>
      <c r="Q57" s="41">
        <f t="shared" si="28"/>
        <v>1023601.9776437847</v>
      </c>
      <c r="R57" s="41">
        <f t="shared" si="23"/>
        <v>435909.66641044762</v>
      </c>
      <c r="S57" s="41">
        <f t="shared" si="24"/>
        <v>302272.50111352035</v>
      </c>
      <c r="T57" s="41">
        <f t="shared" si="25"/>
        <v>133637.16529692727</v>
      </c>
      <c r="U57" s="33">
        <f t="shared" si="26"/>
        <v>1</v>
      </c>
    </row>
    <row r="58" spans="1:27">
      <c r="A58" s="31">
        <f t="shared" si="27"/>
        <v>26</v>
      </c>
      <c r="B58" s="32">
        <f t="shared" si="8"/>
        <v>0.28124073495024959</v>
      </c>
      <c r="C58" s="41">
        <f t="shared" si="9"/>
        <v>1725273.0140350724</v>
      </c>
      <c r="D58" s="41">
        <f t="shared" si="10"/>
        <v>122071.1642239478</v>
      </c>
      <c r="E58" s="41">
        <f t="shared" si="11"/>
        <v>34067.34008082017</v>
      </c>
      <c r="F58" s="41">
        <f t="shared" si="12"/>
        <v>16685.496884899381</v>
      </c>
      <c r="G58" s="41">
        <f t="shared" si="13"/>
        <v>4634.8602458053838</v>
      </c>
      <c r="H58" s="41">
        <f t="shared" si="14"/>
        <v>5561.8322949664598</v>
      </c>
      <c r="I58" s="41">
        <f t="shared" si="15"/>
        <v>60949.529506491395</v>
      </c>
      <c r="J58" s="41">
        <f t="shared" si="16"/>
        <v>1725273.0140350724</v>
      </c>
      <c r="K58" s="41">
        <f t="shared" si="17"/>
        <v>51758.190421052168</v>
      </c>
      <c r="L58" s="41">
        <f t="shared" si="18"/>
        <v>1551443.6593900723</v>
      </c>
      <c r="M58" s="41">
        <f t="shared" si="19"/>
        <v>100501.34062340227</v>
      </c>
      <c r="N58" s="41">
        <f t="shared" si="20"/>
        <v>300</v>
      </c>
      <c r="O58" s="41">
        <f t="shared" si="21"/>
        <v>100801.34062340227</v>
      </c>
      <c r="P58" s="41">
        <f t="shared" si="22"/>
        <v>-39851.811116910874</v>
      </c>
      <c r="Q58" s="41">
        <f t="shared" si="28"/>
        <v>1055402.3049619389</v>
      </c>
      <c r="R58" s="41">
        <f t="shared" si="23"/>
        <v>436329.15500076866</v>
      </c>
      <c r="S58" s="41">
        <f t="shared" si="24"/>
        <v>296822.11991568317</v>
      </c>
      <c r="T58" s="41">
        <f t="shared" si="25"/>
        <v>139507.03508508549</v>
      </c>
      <c r="U58" s="33">
        <f t="shared" si="26"/>
        <v>1</v>
      </c>
    </row>
    <row r="59" spans="1:27">
      <c r="A59" s="31">
        <f t="shared" si="27"/>
        <v>27</v>
      </c>
      <c r="B59" s="32">
        <f t="shared" si="8"/>
        <v>0.2678483190002377</v>
      </c>
      <c r="C59" s="41">
        <f t="shared" si="9"/>
        <v>1777031.2044561245</v>
      </c>
      <c r="D59" s="41">
        <f t="shared" si="10"/>
        <v>94017.559903765563</v>
      </c>
      <c r="E59" s="41">
        <f t="shared" si="11"/>
        <v>34067.34008082017</v>
      </c>
      <c r="F59" s="41">
        <f t="shared" si="12"/>
        <v>17102.634307021865</v>
      </c>
      <c r="G59" s="41">
        <f t="shared" si="13"/>
        <v>4750.7317519505177</v>
      </c>
      <c r="H59" s="41">
        <f t="shared" si="14"/>
        <v>5700.8781023406209</v>
      </c>
      <c r="I59" s="41">
        <f t="shared" si="15"/>
        <v>61621.584242133169</v>
      </c>
      <c r="J59" s="41">
        <f t="shared" si="16"/>
        <v>1777031.2044561245</v>
      </c>
      <c r="K59" s="41">
        <f t="shared" si="17"/>
        <v>53310.936133683732</v>
      </c>
      <c r="L59" s="41">
        <f t="shared" si="18"/>
        <v>1629702.7084186752</v>
      </c>
      <c r="M59" s="41">
        <f t="shared" si="19"/>
        <v>103516.38084210435</v>
      </c>
      <c r="N59" s="41">
        <f t="shared" si="20"/>
        <v>300</v>
      </c>
      <c r="O59" s="41">
        <f t="shared" si="21"/>
        <v>103816.38084210435</v>
      </c>
      <c r="P59" s="41">
        <f t="shared" si="22"/>
        <v>-42194.796599971181</v>
      </c>
      <c r="Q59" s="41">
        <f t="shared" si="28"/>
        <v>1087085.6697093036</v>
      </c>
      <c r="R59" s="41">
        <f t="shared" si="23"/>
        <v>436513.13092007668</v>
      </c>
      <c r="S59" s="41">
        <f t="shared" si="24"/>
        <v>291174.06924088462</v>
      </c>
      <c r="T59" s="41">
        <f t="shared" si="25"/>
        <v>145339.06167919206</v>
      </c>
      <c r="U59" s="33">
        <f t="shared" si="26"/>
        <v>1</v>
      </c>
    </row>
    <row r="60" spans="1:27">
      <c r="A60" s="31">
        <f t="shared" si="27"/>
        <v>28</v>
      </c>
      <c r="B60" s="32">
        <f t="shared" si="8"/>
        <v>0.25509363714308358</v>
      </c>
      <c r="C60" s="41">
        <f t="shared" si="9"/>
        <v>1830342.1405898081</v>
      </c>
      <c r="D60" s="41">
        <f t="shared" si="10"/>
        <v>64381.511787779164</v>
      </c>
      <c r="E60" s="41">
        <f t="shared" si="11"/>
        <v>34067.34008082017</v>
      </c>
      <c r="F60" s="41">
        <f t="shared" si="12"/>
        <v>17530.200164697409</v>
      </c>
      <c r="G60" s="41">
        <f t="shared" si="13"/>
        <v>4869.5000457492806</v>
      </c>
      <c r="H60" s="41">
        <f t="shared" si="14"/>
        <v>5843.4000548991362</v>
      </c>
      <c r="I60" s="41">
        <f t="shared" si="15"/>
        <v>62310.440346165997</v>
      </c>
      <c r="J60" s="41">
        <f t="shared" si="16"/>
        <v>1830342.1405898081</v>
      </c>
      <c r="K60" s="41">
        <f t="shared" si="17"/>
        <v>54910.264217694239</v>
      </c>
      <c r="L60" s="41">
        <f t="shared" si="18"/>
        <v>1711050.3645843347</v>
      </c>
      <c r="M60" s="41">
        <f t="shared" si="19"/>
        <v>106621.87226736746</v>
      </c>
      <c r="N60" s="41">
        <f t="shared" si="20"/>
        <v>300</v>
      </c>
      <c r="O60" s="41">
        <f t="shared" si="21"/>
        <v>106921.87226736746</v>
      </c>
      <c r="P60" s="41">
        <f t="shared" si="22"/>
        <v>-44611.431921201467</v>
      </c>
      <c r="Q60" s="41">
        <f t="shared" si="28"/>
        <v>1118570.2346677533</v>
      </c>
      <c r="R60" s="41">
        <f t="shared" si="23"/>
        <v>436478.06083681708</v>
      </c>
      <c r="S60" s="41">
        <f t="shared" si="24"/>
        <v>285340.1495613897</v>
      </c>
      <c r="T60" s="41">
        <f t="shared" si="25"/>
        <v>151137.91127542738</v>
      </c>
      <c r="U60" s="33">
        <f t="shared" si="26"/>
        <v>1</v>
      </c>
    </row>
    <row r="61" spans="1:27">
      <c r="A61" s="31">
        <f t="shared" si="27"/>
        <v>29</v>
      </c>
      <c r="B61" s="32">
        <f t="shared" si="8"/>
        <v>0.24294632108865097</v>
      </c>
      <c r="C61" s="41">
        <f t="shared" si="9"/>
        <v>1885252.4048075022</v>
      </c>
      <c r="D61" s="41">
        <f t="shared" si="10"/>
        <v>33073.757607287727</v>
      </c>
      <c r="E61" s="41">
        <f t="shared" si="11"/>
        <v>34067.34008082017</v>
      </c>
      <c r="F61" s="41">
        <f t="shared" si="12"/>
        <v>17968.455168814842</v>
      </c>
      <c r="G61" s="41">
        <f t="shared" si="13"/>
        <v>4991.2375468930122</v>
      </c>
      <c r="H61" s="41">
        <f t="shared" si="14"/>
        <v>5989.4850562716147</v>
      </c>
      <c r="I61" s="41">
        <f t="shared" si="15"/>
        <v>63016.51785279964</v>
      </c>
      <c r="J61" s="41">
        <f t="shared" si="16"/>
        <v>1885252.4048075022</v>
      </c>
      <c r="K61" s="41">
        <f t="shared" si="17"/>
        <v>56557.572144225065</v>
      </c>
      <c r="L61" s="41">
        <f t="shared" si="18"/>
        <v>1795621.0750559894</v>
      </c>
      <c r="M61" s="41">
        <f t="shared" si="19"/>
        <v>109820.52843538849</v>
      </c>
      <c r="N61" s="41">
        <f t="shared" si="20"/>
        <v>300</v>
      </c>
      <c r="O61" s="41">
        <f t="shared" si="21"/>
        <v>110120.52843538849</v>
      </c>
      <c r="P61" s="41">
        <f t="shared" si="22"/>
        <v>-47104.010582588853</v>
      </c>
      <c r="Q61" s="41">
        <f t="shared" si="28"/>
        <v>1149766.1405119074</v>
      </c>
      <c r="R61" s="41">
        <f t="shared" si="23"/>
        <v>436239.53425410105</v>
      </c>
      <c r="S61" s="41">
        <f t="shared" si="24"/>
        <v>279331.45394966484</v>
      </c>
      <c r="T61" s="41">
        <f t="shared" si="25"/>
        <v>156908.08030443621</v>
      </c>
      <c r="U61" s="33">
        <f t="shared" si="26"/>
        <v>1</v>
      </c>
    </row>
    <row r="62" spans="1:27">
      <c r="A62" s="31">
        <f t="shared" si="27"/>
        <v>30</v>
      </c>
      <c r="B62" s="32">
        <f t="shared" si="8"/>
        <v>0.23137744865585813</v>
      </c>
      <c r="C62" s="41">
        <f t="shared" si="9"/>
        <v>1941809.9769517272</v>
      </c>
      <c r="D62" s="41">
        <f t="shared" si="10"/>
        <v>0</v>
      </c>
      <c r="E62" s="41">
        <f t="shared" si="11"/>
        <v>34067.34008082017</v>
      </c>
      <c r="F62" s="41">
        <f t="shared" si="12"/>
        <v>18417.666548035217</v>
      </c>
      <c r="G62" s="41">
        <f t="shared" si="13"/>
        <v>5116.0184855653379</v>
      </c>
      <c r="H62" s="41">
        <f t="shared" si="14"/>
        <v>6139.2221826784053</v>
      </c>
      <c r="I62" s="41">
        <f t="shared" si="15"/>
        <v>63740.247297099129</v>
      </c>
      <c r="J62" s="41">
        <f t="shared" si="16"/>
        <v>1941809.9769517272</v>
      </c>
      <c r="K62" s="41">
        <f t="shared" si="17"/>
        <v>58254.29930855181</v>
      </c>
      <c r="L62" s="41">
        <f t="shared" si="18"/>
        <v>1883555.6776431755</v>
      </c>
      <c r="M62" s="41">
        <f t="shared" si="19"/>
        <v>113115.14428845013</v>
      </c>
      <c r="N62" s="41">
        <f t="shared" si="20"/>
        <v>300</v>
      </c>
      <c r="O62" s="41">
        <f t="shared" si="21"/>
        <v>113415.14428845013</v>
      </c>
      <c r="P62" s="41">
        <f t="shared" si="22"/>
        <v>-49674.896991351001</v>
      </c>
      <c r="Q62" s="41">
        <f t="shared" si="28"/>
        <v>1180574.87335639</v>
      </c>
      <c r="R62" s="41">
        <f t="shared" si="23"/>
        <v>435812.30709433393</v>
      </c>
      <c r="S62" s="41">
        <f t="shared" si="24"/>
        <v>273158.40214441437</v>
      </c>
      <c r="T62" s="41">
        <f t="shared" si="25"/>
        <v>162653.90494991955</v>
      </c>
      <c r="U62" s="33">
        <f t="shared" si="26"/>
        <v>1</v>
      </c>
    </row>
    <row r="63" spans="1:27">
      <c r="A63" s="31">
        <f t="shared" si="27"/>
        <v>31</v>
      </c>
      <c r="B63" s="32">
        <f t="shared" si="8"/>
        <v>0.220359474910341</v>
      </c>
      <c r="C63" s="41">
        <f t="shared" si="9"/>
        <v>2000064.2762602794</v>
      </c>
      <c r="D63" s="41">
        <f t="shared" si="10"/>
        <v>0</v>
      </c>
      <c r="E63" s="41">
        <f t="shared" si="11"/>
        <v>0</v>
      </c>
      <c r="F63" s="41">
        <f t="shared" si="12"/>
        <v>18878.108211736093</v>
      </c>
      <c r="G63" s="41">
        <f t="shared" si="13"/>
        <v>5243.9189477044702</v>
      </c>
      <c r="H63" s="41">
        <f t="shared" si="14"/>
        <v>6292.702737245364</v>
      </c>
      <c r="I63" s="41">
        <f t="shared" si="15"/>
        <v>30414.729896685927</v>
      </c>
      <c r="J63" s="41">
        <f t="shared" si="16"/>
        <v>2000064.2762602794</v>
      </c>
      <c r="K63" s="41">
        <f t="shared" si="17"/>
        <v>60001.928287808376</v>
      </c>
      <c r="L63" s="41">
        <f t="shared" si="18"/>
        <v>1940062.347972471</v>
      </c>
      <c r="M63" s="41">
        <f t="shared" si="19"/>
        <v>116508.59861710363</v>
      </c>
      <c r="N63" s="41">
        <f t="shared" si="20"/>
        <v>300</v>
      </c>
      <c r="O63" s="41">
        <f t="shared" si="21"/>
        <v>116808.59861710363</v>
      </c>
      <c r="P63" s="41">
        <f t="shared" si="22"/>
        <v>-86393.868720417711</v>
      </c>
      <c r="Q63" s="41">
        <f t="shared" si="28"/>
        <v>1176821.2457709198</v>
      </c>
      <c r="R63" s="41">
        <f t="shared" si="23"/>
        <v>427511.12029253697</v>
      </c>
      <c r="S63" s="41">
        <f t="shared" si="24"/>
        <v>259323.71178141327</v>
      </c>
      <c r="T63" s="41">
        <f t="shared" si="25"/>
        <v>168187.40851112371</v>
      </c>
      <c r="U63" s="33">
        <f t="shared" si="26"/>
        <v>1</v>
      </c>
    </row>
    <row r="64" spans="1:27">
      <c r="A64" s="31">
        <f t="shared" si="27"/>
        <v>32</v>
      </c>
      <c r="B64" s="32">
        <f t="shared" ref="B64:B82" si="33">1/(1+$B$23)^A64</f>
        <v>0.20986616658127716</v>
      </c>
      <c r="C64" s="41">
        <f t="shared" ref="C64:C82" si="34">$B$6*(1+$B$17)^A64</f>
        <v>2060066.2045480874</v>
      </c>
      <c r="D64" s="41">
        <f t="shared" ref="D64:D82" si="35">IF(A64=0,$B$6-$B$7,IF(A64&gt;=$B$9,0,IF($B$8=0,MAX(0,($B$6-$B$7)-$B$11*12*A64),MAX(0,($B$6-$B$7)*(1+$B$8/12)^(12*A64)-$B$11*(((1+$B$8/12)^(12*A64)-1)/($B$8/12))))))</f>
        <v>0</v>
      </c>
      <c r="E64" s="41">
        <f t="shared" ref="E64:E82" si="36">IF(AND(A64&gt;=1,A64&lt;=$B$9),$B$11*12,0)</f>
        <v>0</v>
      </c>
      <c r="F64" s="41">
        <f t="shared" ref="F64:F82" si="37">IF(A64=0,0,$B$12*(1+$B$18)^(A64-1))</f>
        <v>19350.060917029499</v>
      </c>
      <c r="G64" s="41">
        <f t="shared" ref="G64:G82" si="38">IF(A64=0,0,$B$13*(1+$B$18)^(A64-1))</f>
        <v>5375.016921397083</v>
      </c>
      <c r="H64" s="41">
        <f t="shared" ref="H64:H82" si="39">IF(A64=0,0,$B$14*(1+$B$18)^(A64-1))</f>
        <v>6450.0203056765004</v>
      </c>
      <c r="I64" s="41">
        <f t="shared" ref="I64:I82" si="40">IF(A64=0,$B$7+($B$6*$B$15),E64+F64+G64+H64)</f>
        <v>31175.098144103082</v>
      </c>
      <c r="J64" s="41">
        <f t="shared" ref="J64:J82" si="41">C64</f>
        <v>2060066.2045480874</v>
      </c>
      <c r="K64" s="41">
        <f t="shared" ref="K64:K82" si="42">J64*$B$16</f>
        <v>61801.986136442618</v>
      </c>
      <c r="L64" s="41">
        <f t="shared" ref="L64:L82" si="43">J64-K64-D64</f>
        <v>1998264.2184116449</v>
      </c>
      <c r="M64" s="41">
        <f t="shared" ref="M64:M82" si="44">IF(A64=0,0,$B$19*12*(1+$B$20)^(A64-1))</f>
        <v>120003.85657561677</v>
      </c>
      <c r="N64" s="41">
        <f t="shared" ref="N64:N82" si="45">IF(A64=0,0,$B$21)</f>
        <v>300</v>
      </c>
      <c r="O64" s="41">
        <f t="shared" ref="O64:O82" si="46">M64+N64</f>
        <v>120303.85657561677</v>
      </c>
      <c r="P64" s="41">
        <f t="shared" ref="P64:P82" si="47">I64-O64</f>
        <v>-89128.758431513677</v>
      </c>
      <c r="Q64" s="41">
        <f t="shared" si="28"/>
        <v>1170069.9745433708</v>
      </c>
      <c r="R64" s="41">
        <f t="shared" ref="R64:R82" si="48">L64/(1+$B$23)^A64</f>
        <v>419368.0513345839</v>
      </c>
      <c r="S64" s="41">
        <f t="shared" ref="S64:S82" si="49">Q64/(1+$B$23)^A64</f>
        <v>245558.10018926978</v>
      </c>
      <c r="T64" s="41">
        <f t="shared" ref="T64:T82" si="50">R64-S64</f>
        <v>173809.95114531412</v>
      </c>
      <c r="U64" s="33">
        <f t="shared" ref="U64:U82" si="51">IF(T64&gt;0,1,0)</f>
        <v>1</v>
      </c>
    </row>
    <row r="65" spans="1:21">
      <c r="A65" s="31">
        <f t="shared" ref="A65:A82" si="52">A64+1</f>
        <v>33</v>
      </c>
      <c r="B65" s="32">
        <f t="shared" si="33"/>
        <v>0.19987253960121634</v>
      </c>
      <c r="C65" s="41">
        <f t="shared" si="34"/>
        <v>2121868.19068453</v>
      </c>
      <c r="D65" s="41">
        <f t="shared" si="35"/>
        <v>0</v>
      </c>
      <c r="E65" s="41">
        <f t="shared" si="36"/>
        <v>0</v>
      </c>
      <c r="F65" s="41">
        <f t="shared" si="37"/>
        <v>19833.812439955233</v>
      </c>
      <c r="G65" s="41">
        <f t="shared" si="38"/>
        <v>5509.3923444320089</v>
      </c>
      <c r="H65" s="41">
        <f t="shared" si="39"/>
        <v>6611.2708133184115</v>
      </c>
      <c r="I65" s="41">
        <f t="shared" si="40"/>
        <v>31954.475597705656</v>
      </c>
      <c r="J65" s="41">
        <f t="shared" si="41"/>
        <v>2121868.19068453</v>
      </c>
      <c r="K65" s="41">
        <f t="shared" si="42"/>
        <v>63656.045720535898</v>
      </c>
      <c r="L65" s="41">
        <f t="shared" si="43"/>
        <v>2058212.1449639942</v>
      </c>
      <c r="M65" s="41">
        <f t="shared" si="44"/>
        <v>123603.97227288525</v>
      </c>
      <c r="N65" s="41">
        <f t="shared" si="45"/>
        <v>300</v>
      </c>
      <c r="O65" s="41">
        <f t="shared" si="46"/>
        <v>123903.97227288525</v>
      </c>
      <c r="P65" s="41">
        <f t="shared" si="47"/>
        <v>-91949.496675179602</v>
      </c>
      <c r="Q65" s="41">
        <f t="shared" ref="Q65:Q82" si="53">Q64*(1+$B$22)+P65</f>
        <v>1160025.3760862271</v>
      </c>
      <c r="R65" s="41">
        <f t="shared" si="48"/>
        <v>411380.08845202037</v>
      </c>
      <c r="S65" s="41">
        <f t="shared" si="49"/>
        <v>231857.2179202103</v>
      </c>
      <c r="T65" s="41">
        <f t="shared" si="50"/>
        <v>179522.87053181007</v>
      </c>
      <c r="U65" s="33">
        <f t="shared" si="51"/>
        <v>1</v>
      </c>
    </row>
    <row r="66" spans="1:21">
      <c r="A66" s="31">
        <f t="shared" si="52"/>
        <v>34</v>
      </c>
      <c r="B66" s="32">
        <f t="shared" si="33"/>
        <v>0.19035479962020604</v>
      </c>
      <c r="C66" s="41">
        <f t="shared" si="34"/>
        <v>2185524.2364050657</v>
      </c>
      <c r="D66" s="41">
        <f t="shared" si="35"/>
        <v>0</v>
      </c>
      <c r="E66" s="41">
        <f t="shared" si="36"/>
        <v>0</v>
      </c>
      <c r="F66" s="41">
        <f t="shared" si="37"/>
        <v>20329.657750954113</v>
      </c>
      <c r="G66" s="41">
        <f t="shared" si="38"/>
        <v>5647.1271530428094</v>
      </c>
      <c r="H66" s="41">
        <f t="shared" si="39"/>
        <v>6776.5525836513707</v>
      </c>
      <c r="I66" s="41">
        <f t="shared" si="40"/>
        <v>32753.337487648292</v>
      </c>
      <c r="J66" s="41">
        <f t="shared" si="41"/>
        <v>2185524.2364050657</v>
      </c>
      <c r="K66" s="41">
        <f t="shared" si="42"/>
        <v>65565.727092151967</v>
      </c>
      <c r="L66" s="41">
        <f t="shared" si="43"/>
        <v>2119958.5093129138</v>
      </c>
      <c r="M66" s="41">
        <f t="shared" si="44"/>
        <v>127312.09144107181</v>
      </c>
      <c r="N66" s="41">
        <f t="shared" si="45"/>
        <v>300</v>
      </c>
      <c r="O66" s="41">
        <f t="shared" si="46"/>
        <v>127612.09144107181</v>
      </c>
      <c r="P66" s="41">
        <f t="shared" si="47"/>
        <v>-94858.753953423526</v>
      </c>
      <c r="Q66" s="41">
        <f t="shared" si="53"/>
        <v>1146368.3984588396</v>
      </c>
      <c r="R66" s="41">
        <f t="shared" si="48"/>
        <v>403544.27724341041</v>
      </c>
      <c r="S66" s="41">
        <f t="shared" si="49"/>
        <v>218216.72677956894</v>
      </c>
      <c r="T66" s="41">
        <f t="shared" si="50"/>
        <v>185327.55046384147</v>
      </c>
      <c r="U66" s="33">
        <f t="shared" si="51"/>
        <v>1</v>
      </c>
    </row>
    <row r="67" spans="1:21">
      <c r="A67" s="31">
        <f t="shared" si="52"/>
        <v>35</v>
      </c>
      <c r="B67" s="32">
        <f t="shared" si="33"/>
        <v>0.18129028535257716</v>
      </c>
      <c r="C67" s="41">
        <f t="shared" si="34"/>
        <v>2251089.9634972182</v>
      </c>
      <c r="D67" s="41">
        <f t="shared" si="35"/>
        <v>0</v>
      </c>
      <c r="E67" s="41">
        <f t="shared" si="36"/>
        <v>0</v>
      </c>
      <c r="F67" s="41">
        <f t="shared" si="37"/>
        <v>20837.899194727965</v>
      </c>
      <c r="G67" s="41">
        <f t="shared" si="38"/>
        <v>5788.305331868879</v>
      </c>
      <c r="H67" s="41">
        <f t="shared" si="39"/>
        <v>6945.9663982426555</v>
      </c>
      <c r="I67" s="41">
        <f t="shared" si="40"/>
        <v>33572.170924839498</v>
      </c>
      <c r="J67" s="41">
        <f t="shared" si="41"/>
        <v>2251089.9634972182</v>
      </c>
      <c r="K67" s="41">
        <f t="shared" si="42"/>
        <v>67532.698904916542</v>
      </c>
      <c r="L67" s="41">
        <f t="shared" si="43"/>
        <v>2183557.2645923016</v>
      </c>
      <c r="M67" s="41">
        <f t="shared" si="44"/>
        <v>131131.45418430393</v>
      </c>
      <c r="N67" s="41">
        <f t="shared" si="45"/>
        <v>300</v>
      </c>
      <c r="O67" s="41">
        <f t="shared" si="46"/>
        <v>131431.45418430393</v>
      </c>
      <c r="P67" s="41">
        <f t="shared" si="47"/>
        <v>-97859.283259464428</v>
      </c>
      <c r="Q67" s="41">
        <f t="shared" si="53"/>
        <v>1128754.903091494</v>
      </c>
      <c r="R67" s="41">
        <f t="shared" si="48"/>
        <v>395857.71958163119</v>
      </c>
      <c r="S67" s="41">
        <f t="shared" si="49"/>
        <v>204632.29847457752</v>
      </c>
      <c r="T67" s="41">
        <f t="shared" si="50"/>
        <v>191225.42110705367</v>
      </c>
      <c r="U67" s="33">
        <f t="shared" si="51"/>
        <v>1</v>
      </c>
    </row>
    <row r="68" spans="1:21">
      <c r="A68" s="31">
        <f t="shared" si="52"/>
        <v>36</v>
      </c>
      <c r="B68" s="32">
        <f t="shared" si="33"/>
        <v>0.17265741462150208</v>
      </c>
      <c r="C68" s="41">
        <f t="shared" si="34"/>
        <v>2318622.6624021344</v>
      </c>
      <c r="D68" s="41">
        <f t="shared" si="35"/>
        <v>0</v>
      </c>
      <c r="E68" s="41">
        <f t="shared" si="36"/>
        <v>0</v>
      </c>
      <c r="F68" s="41">
        <f t="shared" si="37"/>
        <v>21358.846674596163</v>
      </c>
      <c r="G68" s="41">
        <f t="shared" si="38"/>
        <v>5933.0129651656007</v>
      </c>
      <c r="H68" s="41">
        <f t="shared" si="39"/>
        <v>7119.6155581987205</v>
      </c>
      <c r="I68" s="41">
        <f t="shared" si="40"/>
        <v>34411.475197960484</v>
      </c>
      <c r="J68" s="41">
        <f t="shared" si="41"/>
        <v>2318622.6624021344</v>
      </c>
      <c r="K68" s="41">
        <f t="shared" si="42"/>
        <v>69558.679872064036</v>
      </c>
      <c r="L68" s="41">
        <f t="shared" si="43"/>
        <v>2249063.9825300705</v>
      </c>
      <c r="M68" s="41">
        <f t="shared" si="44"/>
        <v>135065.39780983308</v>
      </c>
      <c r="N68" s="41">
        <f t="shared" si="45"/>
        <v>300</v>
      </c>
      <c r="O68" s="41">
        <f t="shared" si="46"/>
        <v>135365.39780983308</v>
      </c>
      <c r="P68" s="41">
        <f t="shared" si="47"/>
        <v>-100953.92261187261</v>
      </c>
      <c r="Q68" s="41">
        <f t="shared" si="53"/>
        <v>1106813.8236960259</v>
      </c>
      <c r="R68" s="41">
        <f t="shared" si="48"/>
        <v>388317.57254198106</v>
      </c>
      <c r="S68" s="41">
        <f t="shared" si="49"/>
        <v>191099.61326669485</v>
      </c>
      <c r="T68" s="41">
        <f t="shared" si="50"/>
        <v>197217.95927528621</v>
      </c>
      <c r="U68" s="33">
        <f t="shared" si="51"/>
        <v>1</v>
      </c>
    </row>
    <row r="69" spans="1:21">
      <c r="A69" s="31">
        <f t="shared" si="52"/>
        <v>37</v>
      </c>
      <c r="B69" s="32">
        <f t="shared" si="33"/>
        <v>0.1644356329728591</v>
      </c>
      <c r="C69" s="41">
        <f t="shared" si="34"/>
        <v>2388181.3422741983</v>
      </c>
      <c r="D69" s="41">
        <f t="shared" si="35"/>
        <v>0</v>
      </c>
      <c r="E69" s="41">
        <f t="shared" si="36"/>
        <v>0</v>
      </c>
      <c r="F69" s="41">
        <f t="shared" si="37"/>
        <v>21892.817841461067</v>
      </c>
      <c r="G69" s="41">
        <f t="shared" si="38"/>
        <v>6081.3382892947411</v>
      </c>
      <c r="H69" s="41">
        <f t="shared" si="39"/>
        <v>7297.6059471536892</v>
      </c>
      <c r="I69" s="41">
        <f t="shared" si="40"/>
        <v>35271.762077909494</v>
      </c>
      <c r="J69" s="41">
        <f t="shared" si="41"/>
        <v>2388181.3422741983</v>
      </c>
      <c r="K69" s="41">
        <f t="shared" si="42"/>
        <v>71645.440268225953</v>
      </c>
      <c r="L69" s="41">
        <f t="shared" si="43"/>
        <v>2316535.9020059723</v>
      </c>
      <c r="M69" s="41">
        <f t="shared" si="44"/>
        <v>139117.35974412807</v>
      </c>
      <c r="N69" s="41">
        <f t="shared" si="45"/>
        <v>300</v>
      </c>
      <c r="O69" s="41">
        <f t="shared" si="46"/>
        <v>139417.35974412807</v>
      </c>
      <c r="P69" s="41">
        <f t="shared" si="47"/>
        <v>-104145.59766621859</v>
      </c>
      <c r="Q69" s="41">
        <f t="shared" si="53"/>
        <v>1080145.1936885291</v>
      </c>
      <c r="R69" s="41">
        <f t="shared" si="48"/>
        <v>380921.04735070519</v>
      </c>
      <c r="S69" s="41">
        <f t="shared" si="49"/>
        <v>177614.35862676479</v>
      </c>
      <c r="T69" s="41">
        <f t="shared" si="50"/>
        <v>203306.6887239404</v>
      </c>
      <c r="U69" s="33">
        <f t="shared" si="51"/>
        <v>1</v>
      </c>
    </row>
    <row r="70" spans="1:21">
      <c r="A70" s="31">
        <f t="shared" si="52"/>
        <v>38</v>
      </c>
      <c r="B70" s="32">
        <f t="shared" si="33"/>
        <v>0.15660536473605632</v>
      </c>
      <c r="C70" s="41">
        <f t="shared" si="34"/>
        <v>2459826.7825424243</v>
      </c>
      <c r="D70" s="41">
        <f t="shared" si="35"/>
        <v>0</v>
      </c>
      <c r="E70" s="41">
        <f t="shared" si="36"/>
        <v>0</v>
      </c>
      <c r="F70" s="41">
        <f t="shared" si="37"/>
        <v>22440.138287497593</v>
      </c>
      <c r="G70" s="41">
        <f t="shared" si="38"/>
        <v>6233.3717465271084</v>
      </c>
      <c r="H70" s="41">
        <f t="shared" si="39"/>
        <v>7480.0460958325302</v>
      </c>
      <c r="I70" s="41">
        <f t="shared" si="40"/>
        <v>36153.556129857228</v>
      </c>
      <c r="J70" s="41">
        <f t="shared" si="41"/>
        <v>2459826.7825424243</v>
      </c>
      <c r="K70" s="41">
        <f t="shared" si="42"/>
        <v>73794.803476272718</v>
      </c>
      <c r="L70" s="41">
        <f t="shared" si="43"/>
        <v>2386031.9790661517</v>
      </c>
      <c r="M70" s="41">
        <f t="shared" si="44"/>
        <v>143290.88053645188</v>
      </c>
      <c r="N70" s="41">
        <f t="shared" si="45"/>
        <v>300</v>
      </c>
      <c r="O70" s="41">
        <f t="shared" si="46"/>
        <v>143590.88053645188</v>
      </c>
      <c r="P70" s="41">
        <f t="shared" si="47"/>
        <v>-107437.32440659465</v>
      </c>
      <c r="Q70" s="41">
        <f t="shared" si="53"/>
        <v>1048318.0328401317</v>
      </c>
      <c r="R70" s="41">
        <f t="shared" si="48"/>
        <v>373665.40835354896</v>
      </c>
      <c r="S70" s="41">
        <f t="shared" si="49"/>
        <v>164172.22789231388</v>
      </c>
      <c r="T70" s="41">
        <f t="shared" si="50"/>
        <v>209493.18046123508</v>
      </c>
      <c r="U70" s="33">
        <f t="shared" si="51"/>
        <v>1</v>
      </c>
    </row>
    <row r="71" spans="1:21">
      <c r="A71" s="31">
        <f t="shared" si="52"/>
        <v>39</v>
      </c>
      <c r="B71" s="32">
        <f t="shared" si="33"/>
        <v>0.14914796641529171</v>
      </c>
      <c r="C71" s="41">
        <f t="shared" si="34"/>
        <v>2533621.5860186974</v>
      </c>
      <c r="D71" s="41">
        <f t="shared" si="35"/>
        <v>0</v>
      </c>
      <c r="E71" s="41">
        <f t="shared" si="36"/>
        <v>0</v>
      </c>
      <c r="F71" s="41">
        <f t="shared" si="37"/>
        <v>23001.141744685025</v>
      </c>
      <c r="G71" s="41">
        <f t="shared" si="38"/>
        <v>6389.2060401902854</v>
      </c>
      <c r="H71" s="41">
        <f t="shared" si="39"/>
        <v>7667.0472482283421</v>
      </c>
      <c r="I71" s="41">
        <f t="shared" si="40"/>
        <v>37057.395033103654</v>
      </c>
      <c r="J71" s="41">
        <f t="shared" si="41"/>
        <v>2533621.5860186974</v>
      </c>
      <c r="K71" s="41">
        <f t="shared" si="42"/>
        <v>76008.647580560923</v>
      </c>
      <c r="L71" s="41">
        <f t="shared" si="43"/>
        <v>2457612.9384381366</v>
      </c>
      <c r="M71" s="41">
        <f t="shared" si="44"/>
        <v>147589.60695254544</v>
      </c>
      <c r="N71" s="41">
        <f t="shared" si="45"/>
        <v>300</v>
      </c>
      <c r="O71" s="41">
        <f t="shared" si="46"/>
        <v>147889.60695254544</v>
      </c>
      <c r="P71" s="41">
        <f t="shared" si="47"/>
        <v>-110832.21191944179</v>
      </c>
      <c r="Q71" s="41">
        <f t="shared" si="53"/>
        <v>1010868.0832194991</v>
      </c>
      <c r="R71" s="41">
        <f t="shared" si="48"/>
        <v>366547.97200395755</v>
      </c>
      <c r="S71" s="41">
        <f t="shared" si="49"/>
        <v>150768.91892631215</v>
      </c>
      <c r="T71" s="41">
        <f t="shared" si="50"/>
        <v>215779.0530776454</v>
      </c>
      <c r="U71" s="33">
        <f t="shared" si="51"/>
        <v>1</v>
      </c>
    </row>
    <row r="72" spans="1:21">
      <c r="A72" s="31">
        <f t="shared" si="52"/>
        <v>40</v>
      </c>
      <c r="B72" s="32">
        <f t="shared" si="33"/>
        <v>0.14204568230027784</v>
      </c>
      <c r="C72" s="41">
        <f t="shared" si="34"/>
        <v>2609630.2335992577</v>
      </c>
      <c r="D72" s="41">
        <f t="shared" si="35"/>
        <v>0</v>
      </c>
      <c r="E72" s="41">
        <f t="shared" si="36"/>
        <v>0</v>
      </c>
      <c r="F72" s="41">
        <f t="shared" si="37"/>
        <v>23576.170288302153</v>
      </c>
      <c r="G72" s="41">
        <f t="shared" si="38"/>
        <v>6548.9361911950427</v>
      </c>
      <c r="H72" s="41">
        <f t="shared" si="39"/>
        <v>7858.7234294340515</v>
      </c>
      <c r="I72" s="41">
        <f t="shared" si="40"/>
        <v>37983.82990893125</v>
      </c>
      <c r="J72" s="41">
        <f t="shared" si="41"/>
        <v>2609630.2335992577</v>
      </c>
      <c r="K72" s="41">
        <f t="shared" si="42"/>
        <v>78288.90700797773</v>
      </c>
      <c r="L72" s="41">
        <f t="shared" si="43"/>
        <v>2531341.3265912798</v>
      </c>
      <c r="M72" s="41">
        <f t="shared" si="44"/>
        <v>152017.29516112182</v>
      </c>
      <c r="N72" s="41">
        <f t="shared" si="45"/>
        <v>300</v>
      </c>
      <c r="O72" s="41">
        <f t="shared" si="46"/>
        <v>152317.29516112182</v>
      </c>
      <c r="P72" s="41">
        <f t="shared" si="47"/>
        <v>-114333.46525219057</v>
      </c>
      <c r="Q72" s="41">
        <f t="shared" si="53"/>
        <v>967295.38379267347</v>
      </c>
      <c r="R72" s="41">
        <f t="shared" si="48"/>
        <v>359566.10587054875</v>
      </c>
      <c r="S72" s="41">
        <f t="shared" si="49"/>
        <v>137400.1327767394</v>
      </c>
      <c r="T72" s="41">
        <f t="shared" si="50"/>
        <v>222165.97309380936</v>
      </c>
      <c r="U72" s="33">
        <f t="shared" si="51"/>
        <v>1</v>
      </c>
    </row>
    <row r="73" spans="1:21">
      <c r="A73" s="31">
        <f t="shared" si="52"/>
        <v>41</v>
      </c>
      <c r="B73" s="32">
        <f t="shared" si="33"/>
        <v>0.13528160219074079</v>
      </c>
      <c r="C73" s="41">
        <f t="shared" si="34"/>
        <v>2687919.1406072355</v>
      </c>
      <c r="D73" s="41">
        <f t="shared" si="35"/>
        <v>0</v>
      </c>
      <c r="E73" s="41">
        <f t="shared" si="36"/>
        <v>0</v>
      </c>
      <c r="F73" s="41">
        <f t="shared" si="37"/>
        <v>24165.574545509706</v>
      </c>
      <c r="G73" s="41">
        <f t="shared" si="38"/>
        <v>6712.6595959749184</v>
      </c>
      <c r="H73" s="41">
        <f t="shared" si="39"/>
        <v>8055.1915151699013</v>
      </c>
      <c r="I73" s="41">
        <f t="shared" si="40"/>
        <v>38933.425656654523</v>
      </c>
      <c r="J73" s="41">
        <f t="shared" si="41"/>
        <v>2687919.1406072355</v>
      </c>
      <c r="K73" s="41">
        <f t="shared" si="42"/>
        <v>80637.574218217065</v>
      </c>
      <c r="L73" s="41">
        <f t="shared" si="43"/>
        <v>2607281.5663890182</v>
      </c>
      <c r="M73" s="41">
        <f t="shared" si="44"/>
        <v>156577.81401595546</v>
      </c>
      <c r="N73" s="41">
        <f t="shared" si="45"/>
        <v>300</v>
      </c>
      <c r="O73" s="41">
        <f t="shared" si="46"/>
        <v>156877.81401595546</v>
      </c>
      <c r="P73" s="41">
        <f t="shared" si="47"/>
        <v>-117944.38835930094</v>
      </c>
      <c r="Q73" s="41">
        <f t="shared" si="53"/>
        <v>917061.6722988598</v>
      </c>
      <c r="R73" s="41">
        <f t="shared" si="48"/>
        <v>352717.22766349069</v>
      </c>
      <c r="S73" s="41">
        <f t="shared" si="49"/>
        <v>124061.57233630984</v>
      </c>
      <c r="T73" s="41">
        <f t="shared" si="50"/>
        <v>228655.65532718087</v>
      </c>
      <c r="U73" s="33">
        <f t="shared" si="51"/>
        <v>1</v>
      </c>
    </row>
    <row r="74" spans="1:21">
      <c r="A74" s="31">
        <f t="shared" si="52"/>
        <v>42</v>
      </c>
      <c r="B74" s="32">
        <f t="shared" si="33"/>
        <v>0.12883962113403885</v>
      </c>
      <c r="C74" s="41">
        <f t="shared" si="34"/>
        <v>2768556.7148254528</v>
      </c>
      <c r="D74" s="41">
        <f t="shared" si="35"/>
        <v>0</v>
      </c>
      <c r="E74" s="41">
        <f t="shared" si="36"/>
        <v>0</v>
      </c>
      <c r="F74" s="41">
        <f t="shared" si="37"/>
        <v>24769.713909147446</v>
      </c>
      <c r="G74" s="41">
        <f t="shared" si="38"/>
        <v>6880.4760858742911</v>
      </c>
      <c r="H74" s="41">
        <f t="shared" si="39"/>
        <v>8256.5713030491497</v>
      </c>
      <c r="I74" s="41">
        <f t="shared" si="40"/>
        <v>39906.761298070887</v>
      </c>
      <c r="J74" s="41">
        <f t="shared" si="41"/>
        <v>2768556.7148254528</v>
      </c>
      <c r="K74" s="41">
        <f t="shared" si="42"/>
        <v>83056.701444763574</v>
      </c>
      <c r="L74" s="41">
        <f t="shared" si="43"/>
        <v>2685500.0133806891</v>
      </c>
      <c r="M74" s="41">
        <f t="shared" si="44"/>
        <v>161275.14843643413</v>
      </c>
      <c r="N74" s="41">
        <f t="shared" si="45"/>
        <v>300</v>
      </c>
      <c r="O74" s="41">
        <f t="shared" si="46"/>
        <v>161575.14843643413</v>
      </c>
      <c r="P74" s="41">
        <f t="shared" si="47"/>
        <v>-121668.38713836324</v>
      </c>
      <c r="Q74" s="41">
        <f t="shared" si="53"/>
        <v>859587.60222141689</v>
      </c>
      <c r="R74" s="41">
        <f t="shared" si="48"/>
        <v>345998.80427942419</v>
      </c>
      <c r="S74" s="41">
        <f t="shared" si="49"/>
        <v>110748.94100172423</v>
      </c>
      <c r="T74" s="41">
        <f t="shared" si="50"/>
        <v>235249.86327769997</v>
      </c>
      <c r="U74" s="33">
        <f t="shared" si="51"/>
        <v>1</v>
      </c>
    </row>
    <row r="75" spans="1:21">
      <c r="A75" s="31">
        <f t="shared" si="52"/>
        <v>43</v>
      </c>
      <c r="B75" s="32">
        <f t="shared" si="33"/>
        <v>0.12270440108003698</v>
      </c>
      <c r="C75" s="41">
        <f t="shared" si="34"/>
        <v>2851613.416270216</v>
      </c>
      <c r="D75" s="41">
        <f t="shared" si="35"/>
        <v>0</v>
      </c>
      <c r="E75" s="41">
        <f t="shared" si="36"/>
        <v>0</v>
      </c>
      <c r="F75" s="41">
        <f t="shared" si="37"/>
        <v>25388.95675687613</v>
      </c>
      <c r="G75" s="41">
        <f t="shared" si="38"/>
        <v>7052.4879880211474</v>
      </c>
      <c r="H75" s="41">
        <f t="shared" si="39"/>
        <v>8462.985585625378</v>
      </c>
      <c r="I75" s="41">
        <f t="shared" si="40"/>
        <v>40904.430330522657</v>
      </c>
      <c r="J75" s="41">
        <f t="shared" si="41"/>
        <v>2851613.416270216</v>
      </c>
      <c r="K75" s="41">
        <f t="shared" si="42"/>
        <v>85548.402488106483</v>
      </c>
      <c r="L75" s="41">
        <f t="shared" si="43"/>
        <v>2766065.0137821096</v>
      </c>
      <c r="M75" s="41">
        <f t="shared" si="44"/>
        <v>166113.40288952718</v>
      </c>
      <c r="N75" s="41">
        <f t="shared" si="45"/>
        <v>300</v>
      </c>
      <c r="O75" s="41">
        <f t="shared" si="46"/>
        <v>166413.40288952718</v>
      </c>
      <c r="P75" s="41">
        <f t="shared" si="47"/>
        <v>-125508.97255900453</v>
      </c>
      <c r="Q75" s="41">
        <f t="shared" si="53"/>
        <v>794249.76181791152</v>
      </c>
      <c r="R75" s="41">
        <f t="shared" si="48"/>
        <v>339408.35086457798</v>
      </c>
      <c r="S75" s="41">
        <f t="shared" si="49"/>
        <v>97457.941331828857</v>
      </c>
      <c r="T75" s="41">
        <f t="shared" si="50"/>
        <v>241950.40953274912</v>
      </c>
      <c r="U75" s="33">
        <f t="shared" si="51"/>
        <v>1</v>
      </c>
    </row>
    <row r="76" spans="1:21">
      <c r="A76" s="31">
        <f t="shared" si="52"/>
        <v>44</v>
      </c>
      <c r="B76" s="32">
        <f t="shared" si="33"/>
        <v>0.11686133436193999</v>
      </c>
      <c r="C76" s="41">
        <f t="shared" si="34"/>
        <v>2937161.8187583224</v>
      </c>
      <c r="D76" s="41">
        <f t="shared" si="35"/>
        <v>0</v>
      </c>
      <c r="E76" s="41">
        <f t="shared" si="36"/>
        <v>0</v>
      </c>
      <c r="F76" s="41">
        <f t="shared" si="37"/>
        <v>26023.680675798038</v>
      </c>
      <c r="G76" s="41">
        <f t="shared" si="38"/>
        <v>7228.8001877216766</v>
      </c>
      <c r="H76" s="41">
        <f t="shared" si="39"/>
        <v>8674.5602252660119</v>
      </c>
      <c r="I76" s="41">
        <f t="shared" si="40"/>
        <v>41927.041088785722</v>
      </c>
      <c r="J76" s="41">
        <f t="shared" si="41"/>
        <v>2937161.8187583224</v>
      </c>
      <c r="K76" s="41">
        <f t="shared" si="42"/>
        <v>88114.854562749664</v>
      </c>
      <c r="L76" s="41">
        <f t="shared" si="43"/>
        <v>2849046.9641955728</v>
      </c>
      <c r="M76" s="41">
        <f t="shared" si="44"/>
        <v>171096.80497621297</v>
      </c>
      <c r="N76" s="41">
        <f t="shared" si="45"/>
        <v>300</v>
      </c>
      <c r="O76" s="41">
        <f t="shared" si="46"/>
        <v>171396.80497621297</v>
      </c>
      <c r="P76" s="41">
        <f t="shared" si="47"/>
        <v>-129469.76388742725</v>
      </c>
      <c r="Q76" s="41">
        <f t="shared" si="53"/>
        <v>720377.48125773808</v>
      </c>
      <c r="R76" s="41">
        <f t="shared" si="48"/>
        <v>332943.42989572888</v>
      </c>
      <c r="S76" s="41">
        <f t="shared" si="49"/>
        <v>84184.273704072693</v>
      </c>
      <c r="T76" s="41">
        <f t="shared" si="50"/>
        <v>248759.15619165619</v>
      </c>
      <c r="U76" s="33">
        <f t="shared" si="51"/>
        <v>1</v>
      </c>
    </row>
    <row r="77" spans="1:21">
      <c r="A77" s="31">
        <f t="shared" si="52"/>
        <v>45</v>
      </c>
      <c r="B77" s="32">
        <f t="shared" si="33"/>
        <v>0.1112965089161333</v>
      </c>
      <c r="C77" s="41">
        <f t="shared" si="34"/>
        <v>3025276.673321072</v>
      </c>
      <c r="D77" s="41">
        <f t="shared" si="35"/>
        <v>0</v>
      </c>
      <c r="E77" s="41">
        <f t="shared" si="36"/>
        <v>0</v>
      </c>
      <c r="F77" s="41">
        <f t="shared" si="37"/>
        <v>26674.272692692983</v>
      </c>
      <c r="G77" s="41">
        <f t="shared" si="38"/>
        <v>7409.5201924147168</v>
      </c>
      <c r="H77" s="41">
        <f t="shared" si="39"/>
        <v>8891.4242308976609</v>
      </c>
      <c r="I77" s="41">
        <f t="shared" si="40"/>
        <v>42975.217116005362</v>
      </c>
      <c r="J77" s="41">
        <f t="shared" si="41"/>
        <v>3025276.673321072</v>
      </c>
      <c r="K77" s="41">
        <f t="shared" si="42"/>
        <v>90758.300199632155</v>
      </c>
      <c r="L77" s="41">
        <f t="shared" si="43"/>
        <v>2934518.3731214399</v>
      </c>
      <c r="M77" s="41">
        <f t="shared" si="44"/>
        <v>176229.70912549933</v>
      </c>
      <c r="N77" s="41">
        <f t="shared" si="45"/>
        <v>300</v>
      </c>
      <c r="O77" s="41">
        <f t="shared" si="46"/>
        <v>176529.70912549933</v>
      </c>
      <c r="P77" s="41">
        <f t="shared" si="47"/>
        <v>-133554.49200949396</v>
      </c>
      <c r="Q77" s="41">
        <f t="shared" si="53"/>
        <v>637249.41293628584</v>
      </c>
      <c r="R77" s="41">
        <f t="shared" si="48"/>
        <v>326601.65027866734</v>
      </c>
      <c r="S77" s="41">
        <f t="shared" si="49"/>
        <v>70923.634968664046</v>
      </c>
      <c r="T77" s="41">
        <f t="shared" si="50"/>
        <v>255678.01531000331</v>
      </c>
      <c r="U77" s="33">
        <f t="shared" si="51"/>
        <v>1</v>
      </c>
    </row>
    <row r="78" spans="1:21">
      <c r="A78" s="31">
        <f t="shared" si="52"/>
        <v>46</v>
      </c>
      <c r="B78" s="32">
        <f t="shared" si="33"/>
        <v>0.10599667515822221</v>
      </c>
      <c r="C78" s="41">
        <f t="shared" si="34"/>
        <v>3116034.9735207041</v>
      </c>
      <c r="D78" s="41">
        <f t="shared" si="35"/>
        <v>0</v>
      </c>
      <c r="E78" s="41">
        <f t="shared" si="36"/>
        <v>0</v>
      </c>
      <c r="F78" s="41">
        <f t="shared" si="37"/>
        <v>27341.129510010309</v>
      </c>
      <c r="G78" s="41">
        <f t="shared" si="38"/>
        <v>7594.7581972250855</v>
      </c>
      <c r="H78" s="41">
        <f t="shared" si="39"/>
        <v>9113.709836670103</v>
      </c>
      <c r="I78" s="41">
        <f t="shared" si="40"/>
        <v>44049.597543905496</v>
      </c>
      <c r="J78" s="41">
        <f t="shared" si="41"/>
        <v>3116034.9735207041</v>
      </c>
      <c r="K78" s="41">
        <f t="shared" si="42"/>
        <v>93481.049205621122</v>
      </c>
      <c r="L78" s="41">
        <f t="shared" si="43"/>
        <v>3022553.9243150828</v>
      </c>
      <c r="M78" s="41">
        <f t="shared" si="44"/>
        <v>181516.60039926431</v>
      </c>
      <c r="N78" s="41">
        <f t="shared" si="45"/>
        <v>300</v>
      </c>
      <c r="O78" s="41">
        <f t="shared" si="46"/>
        <v>181816.60039926431</v>
      </c>
      <c r="P78" s="41">
        <f t="shared" si="47"/>
        <v>-137767.00285535882</v>
      </c>
      <c r="Q78" s="41">
        <f t="shared" si="53"/>
        <v>544089.86898646713</v>
      </c>
      <c r="R78" s="41">
        <f t="shared" si="48"/>
        <v>320380.66646383563</v>
      </c>
      <c r="S78" s="41">
        <f t="shared" si="49"/>
        <v>57671.717099838243</v>
      </c>
      <c r="T78" s="41">
        <f t="shared" si="50"/>
        <v>262708.94936399738</v>
      </c>
      <c r="U78" s="33">
        <f t="shared" si="51"/>
        <v>1</v>
      </c>
    </row>
    <row r="79" spans="1:21">
      <c r="A79" s="31">
        <f t="shared" si="52"/>
        <v>47</v>
      </c>
      <c r="B79" s="32">
        <f t="shared" si="33"/>
        <v>0.10094921443640208</v>
      </c>
      <c r="C79" s="41">
        <f t="shared" si="34"/>
        <v>3209516.0227263258</v>
      </c>
      <c r="D79" s="41">
        <f t="shared" si="35"/>
        <v>0</v>
      </c>
      <c r="E79" s="41">
        <f t="shared" si="36"/>
        <v>0</v>
      </c>
      <c r="F79" s="41">
        <f t="shared" si="37"/>
        <v>28024.657747760561</v>
      </c>
      <c r="G79" s="41">
        <f t="shared" si="38"/>
        <v>7784.627152155711</v>
      </c>
      <c r="H79" s="41">
        <f t="shared" si="39"/>
        <v>9341.5525825868535</v>
      </c>
      <c r="I79" s="41">
        <f t="shared" si="40"/>
        <v>45150.837482503128</v>
      </c>
      <c r="J79" s="41">
        <f t="shared" si="41"/>
        <v>3209516.0227263258</v>
      </c>
      <c r="K79" s="41">
        <f t="shared" si="42"/>
        <v>96285.480681789777</v>
      </c>
      <c r="L79" s="41">
        <f t="shared" si="43"/>
        <v>3113230.5420445362</v>
      </c>
      <c r="M79" s="41">
        <f t="shared" si="44"/>
        <v>186962.09841124224</v>
      </c>
      <c r="N79" s="41">
        <f t="shared" si="45"/>
        <v>300</v>
      </c>
      <c r="O79" s="41">
        <f t="shared" si="46"/>
        <v>187262.09841124224</v>
      </c>
      <c r="P79" s="41">
        <f t="shared" si="47"/>
        <v>-142111.26092873912</v>
      </c>
      <c r="Q79" s="41">
        <f t="shared" si="53"/>
        <v>440064.89888678072</v>
      </c>
      <c r="R79" s="41">
        <f t="shared" si="48"/>
        <v>314278.17757881019</v>
      </c>
      <c r="S79" s="41">
        <f t="shared" si="49"/>
        <v>44424.205843655225</v>
      </c>
      <c r="T79" s="41">
        <f t="shared" si="50"/>
        <v>269853.97173515498</v>
      </c>
      <c r="U79" s="33">
        <f t="shared" si="51"/>
        <v>1</v>
      </c>
    </row>
    <row r="80" spans="1:21">
      <c r="A80" s="31">
        <f t="shared" si="52"/>
        <v>48</v>
      </c>
      <c r="B80" s="32">
        <f t="shared" si="33"/>
        <v>9.6142108987049613E-2</v>
      </c>
      <c r="C80" s="41">
        <f t="shared" si="34"/>
        <v>3305801.5034081154</v>
      </c>
      <c r="D80" s="41">
        <f t="shared" si="35"/>
        <v>0</v>
      </c>
      <c r="E80" s="41">
        <f t="shared" si="36"/>
        <v>0</v>
      </c>
      <c r="F80" s="41">
        <f t="shared" si="37"/>
        <v>28725.27419145458</v>
      </c>
      <c r="G80" s="41">
        <f t="shared" si="38"/>
        <v>7979.2428309596053</v>
      </c>
      <c r="H80" s="41">
        <f t="shared" si="39"/>
        <v>9575.0913971515256</v>
      </c>
      <c r="I80" s="41">
        <f t="shared" si="40"/>
        <v>46279.608419565709</v>
      </c>
      <c r="J80" s="41">
        <f t="shared" si="41"/>
        <v>3305801.5034081154</v>
      </c>
      <c r="K80" s="41">
        <f t="shared" si="42"/>
        <v>99174.045102243457</v>
      </c>
      <c r="L80" s="41">
        <f t="shared" si="43"/>
        <v>3206627.458305872</v>
      </c>
      <c r="M80" s="41">
        <f t="shared" si="44"/>
        <v>192570.96136357955</v>
      </c>
      <c r="N80" s="41">
        <f t="shared" si="45"/>
        <v>300</v>
      </c>
      <c r="O80" s="41">
        <f t="shared" si="46"/>
        <v>192870.96136357955</v>
      </c>
      <c r="P80" s="41">
        <f t="shared" si="47"/>
        <v>-146591.35294401384</v>
      </c>
      <c r="Q80" s="41">
        <f t="shared" si="53"/>
        <v>324278.08886484156</v>
      </c>
      <c r="R80" s="41">
        <f t="shared" si="48"/>
        <v>308291.92657730903</v>
      </c>
      <c r="S80" s="41">
        <f t="shared" si="49"/>
        <v>31176.779361755755</v>
      </c>
      <c r="T80" s="41">
        <f t="shared" si="50"/>
        <v>277115.14721555327</v>
      </c>
      <c r="U80" s="33">
        <f t="shared" si="51"/>
        <v>1</v>
      </c>
    </row>
    <row r="81" spans="1:21">
      <c r="A81" s="31">
        <f t="shared" si="52"/>
        <v>49</v>
      </c>
      <c r="B81" s="32">
        <f t="shared" si="33"/>
        <v>9.1563913320999626E-2</v>
      </c>
      <c r="C81" s="41">
        <f t="shared" si="34"/>
        <v>3404975.5485103582</v>
      </c>
      <c r="D81" s="41">
        <f t="shared" si="35"/>
        <v>0</v>
      </c>
      <c r="E81" s="41">
        <f t="shared" si="36"/>
        <v>0</v>
      </c>
      <c r="F81" s="41">
        <f t="shared" si="37"/>
        <v>29443.40604624094</v>
      </c>
      <c r="G81" s="41">
        <f t="shared" si="38"/>
        <v>8178.7239017335942</v>
      </c>
      <c r="H81" s="41">
        <f t="shared" si="39"/>
        <v>9814.4686820803126</v>
      </c>
      <c r="I81" s="41">
        <f t="shared" si="40"/>
        <v>47436.598630054847</v>
      </c>
      <c r="J81" s="41">
        <f t="shared" si="41"/>
        <v>3404975.5485103582</v>
      </c>
      <c r="K81" s="41">
        <f t="shared" si="42"/>
        <v>102149.26645531075</v>
      </c>
      <c r="L81" s="41">
        <f t="shared" si="43"/>
        <v>3302826.2820550473</v>
      </c>
      <c r="M81" s="41">
        <f t="shared" si="44"/>
        <v>198348.09020448691</v>
      </c>
      <c r="N81" s="41">
        <f t="shared" si="45"/>
        <v>300</v>
      </c>
      <c r="O81" s="41">
        <f t="shared" si="46"/>
        <v>198648.09020448691</v>
      </c>
      <c r="P81" s="41">
        <f t="shared" si="47"/>
        <v>-151211.49157443206</v>
      </c>
      <c r="Q81" s="41">
        <f t="shared" si="53"/>
        <v>195766.06351094844</v>
      </c>
      <c r="R81" s="41">
        <f t="shared" si="48"/>
        <v>302419.69940440782</v>
      </c>
      <c r="S81" s="41">
        <f t="shared" si="49"/>
        <v>17925.10687050979</v>
      </c>
      <c r="T81" s="41">
        <f t="shared" si="50"/>
        <v>284494.59253389802</v>
      </c>
      <c r="U81" s="33">
        <f t="shared" si="51"/>
        <v>1</v>
      </c>
    </row>
    <row r="82" spans="1:21">
      <c r="A82" s="34">
        <f t="shared" si="52"/>
        <v>50</v>
      </c>
      <c r="B82" s="35">
        <f t="shared" si="33"/>
        <v>8.7203726972380588E-2</v>
      </c>
      <c r="C82" s="42">
        <f t="shared" si="34"/>
        <v>3507124.8149656691</v>
      </c>
      <c r="D82" s="42">
        <f t="shared" si="35"/>
        <v>0</v>
      </c>
      <c r="E82" s="42">
        <f t="shared" si="36"/>
        <v>0</v>
      </c>
      <c r="F82" s="42">
        <f t="shared" si="37"/>
        <v>30179.491197396961</v>
      </c>
      <c r="G82" s="42">
        <f t="shared" si="38"/>
        <v>8383.1919992769326</v>
      </c>
      <c r="H82" s="42">
        <f t="shared" si="39"/>
        <v>10059.830399132319</v>
      </c>
      <c r="I82" s="42">
        <f t="shared" si="40"/>
        <v>48622.513595806216</v>
      </c>
      <c r="J82" s="42">
        <f t="shared" si="41"/>
        <v>3507124.8149656691</v>
      </c>
      <c r="K82" s="42">
        <f t="shared" si="42"/>
        <v>105213.74444897007</v>
      </c>
      <c r="L82" s="42">
        <f t="shared" si="43"/>
        <v>3401911.070516699</v>
      </c>
      <c r="M82" s="42">
        <f t="shared" si="44"/>
        <v>204298.53291062149</v>
      </c>
      <c r="N82" s="42">
        <f t="shared" si="45"/>
        <v>300</v>
      </c>
      <c r="O82" s="42">
        <f t="shared" si="46"/>
        <v>204598.53291062149</v>
      </c>
      <c r="P82" s="42">
        <f t="shared" si="47"/>
        <v>-155976.01931481529</v>
      </c>
      <c r="Q82" s="42">
        <f t="shared" si="53"/>
        <v>53493.668641899567</v>
      </c>
      <c r="R82" s="42">
        <f t="shared" si="48"/>
        <v>296659.3241776572</v>
      </c>
      <c r="S82" s="42">
        <f t="shared" si="49"/>
        <v>4664.847274999207</v>
      </c>
      <c r="T82" s="42">
        <f t="shared" si="50"/>
        <v>291994.476902658</v>
      </c>
      <c r="U82" s="36">
        <f t="shared" si="51"/>
        <v>1</v>
      </c>
    </row>
  </sheetData>
  <mergeCells count="10">
    <mergeCell ref="A1:AA1"/>
    <mergeCell ref="A2:AA2"/>
    <mergeCell ref="A5:B5"/>
    <mergeCell ref="D5:E5"/>
    <mergeCell ref="D14:H14"/>
    <mergeCell ref="D15:H17"/>
    <mergeCell ref="J4:N4"/>
    <mergeCell ref="W4:AA4"/>
    <mergeCell ref="J22:O22"/>
    <mergeCell ref="A30:U30"/>
  </mergeCells>
  <conditionalFormatting sqref="E10">
    <cfRule type="expression" dxfId="3" priority="1">
      <formula>E10&gt;0</formula>
    </cfRule>
    <cfRule type="expression" dxfId="2" priority="2">
      <formula>E10&lt;0</formula>
    </cfRule>
  </conditionalFormatting>
  <conditionalFormatting sqref="T32:T82">
    <cfRule type="expression" dxfId="1" priority="3">
      <formula>T32&gt;0</formula>
    </cfRule>
    <cfRule type="expression" dxfId="0" priority="4">
      <formula>T32&lt;0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2"/>
  <sheetViews>
    <sheetView workbookViewId="0"/>
  </sheetViews>
  <sheetFormatPr defaultRowHeight="13.6"/>
  <cols>
    <col min="1" max="4" width="28" customWidth="1"/>
  </cols>
  <sheetData>
    <row r="1" spans="1:4" ht="18.350000000000001">
      <c r="A1" s="83" t="s">
        <v>59</v>
      </c>
      <c r="B1" s="83"/>
      <c r="C1" s="83"/>
      <c r="D1" s="83"/>
    </row>
    <row r="3" spans="1:4" ht="21.75" customHeight="1">
      <c r="A3" s="1" t="s">
        <v>60</v>
      </c>
    </row>
    <row r="4" spans="1:4" ht="21.75" customHeight="1">
      <c r="A4" s="2" t="s">
        <v>61</v>
      </c>
    </row>
    <row r="5" spans="1:4" ht="21.75" customHeight="1">
      <c r="A5" s="2" t="s">
        <v>62</v>
      </c>
    </row>
    <row r="6" spans="1:4" ht="21.75" customHeight="1">
      <c r="A6" s="2" t="s">
        <v>63</v>
      </c>
    </row>
    <row r="7" spans="1:4" ht="21.75" customHeight="1">
      <c r="A7" s="2" t="s">
        <v>64</v>
      </c>
    </row>
    <row r="8" spans="1:4" ht="21.75" customHeight="1">
      <c r="A8" s="2" t="s">
        <v>65</v>
      </c>
    </row>
    <row r="9" spans="1:4" ht="21.75" customHeight="1">
      <c r="A9" s="2" t="s">
        <v>66</v>
      </c>
    </row>
    <row r="10" spans="1:4" ht="21.75" customHeight="1">
      <c r="A10" s="2" t="s">
        <v>67</v>
      </c>
    </row>
    <row r="11" spans="1:4" ht="21.75" customHeight="1">
      <c r="A11" s="2" t="s">
        <v>68</v>
      </c>
    </row>
    <row r="12" spans="1:4" ht="21.75" customHeight="1">
      <c r="A12" s="3" t="s">
        <v>69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Buy vs Rent – Ending Wealth</vt:lpstr>
      <vt:lpstr>Help - 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Manuel Alvarez</cp:lastModifiedBy>
  <dcterms:modified xsi:type="dcterms:W3CDTF">2026-04-19T21:17:41Z</dcterms:modified>
</cp:coreProperties>
</file>