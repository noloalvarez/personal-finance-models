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nolo\Documents\SFL\Seminars on Financial Literacy 2.0\"/>
    </mc:Choice>
  </mc:AlternateContent>
  <xr:revisionPtr revIDLastSave="0" documentId="13_ncr:1_{9914A285-E018-4A1C-9092-A73166CFF4C5}" xr6:coauthVersionLast="47" xr6:coauthVersionMax="47" xr10:uidLastSave="{00000000-0000-0000-0000-000000000000}"/>
  <bookViews>
    <workbookView xWindow="-109" yWindow="-109" windowWidth="26301" windowHeight="14305" xr2:uid="{00000000-000D-0000-FFFF-FFFF00000000}"/>
  </bookViews>
  <sheets>
    <sheet name="Dashboard" sheetId="1" r:id="rId1"/>
    <sheet name="Inputs" sheetId="2" r:id="rId2"/>
    <sheet name="Maintenance" sheetId="3" r:id="rId3"/>
    <sheet name="Cashflow" sheetId="4" r:id="rId4"/>
    <sheet name="Help - Prompt" sheetId="5" r:id="rId5"/>
  </sheets>
  <calcPr calcId="181029"/>
</workbook>
</file>

<file path=xl/calcChain.xml><?xml version="1.0" encoding="utf-8"?>
<calcChain xmlns="http://schemas.openxmlformats.org/spreadsheetml/2006/main">
  <c r="D126" i="4" l="1"/>
  <c r="G125" i="4"/>
  <c r="D125" i="4"/>
  <c r="G124" i="4"/>
  <c r="D124" i="4"/>
  <c r="G123" i="4"/>
  <c r="D123" i="4"/>
  <c r="G122" i="4"/>
  <c r="D122" i="4"/>
  <c r="G121" i="4"/>
  <c r="D121" i="4"/>
  <c r="G120" i="4"/>
  <c r="D120" i="4"/>
  <c r="G119" i="4"/>
  <c r="D119" i="4"/>
  <c r="G118" i="4"/>
  <c r="D118" i="4"/>
  <c r="G117" i="4"/>
  <c r="D117" i="4"/>
  <c r="G116" i="4"/>
  <c r="D116" i="4"/>
  <c r="G115" i="4"/>
  <c r="D115" i="4"/>
  <c r="D114" i="4"/>
  <c r="G113" i="4"/>
  <c r="D113" i="4"/>
  <c r="G112" i="4"/>
  <c r="D112" i="4"/>
  <c r="G111" i="4"/>
  <c r="D111" i="4"/>
  <c r="G110" i="4"/>
  <c r="D110" i="4"/>
  <c r="G109" i="4"/>
  <c r="D109" i="4"/>
  <c r="G108" i="4"/>
  <c r="D108" i="4"/>
  <c r="G107" i="4"/>
  <c r="D107" i="4"/>
  <c r="G106" i="4"/>
  <c r="D106" i="4"/>
  <c r="G105" i="4"/>
  <c r="D105" i="4"/>
  <c r="G104" i="4"/>
  <c r="D104" i="4"/>
  <c r="G103" i="4"/>
  <c r="D103" i="4"/>
  <c r="D102" i="4"/>
  <c r="G101" i="4"/>
  <c r="D101" i="4"/>
  <c r="G100" i="4"/>
  <c r="D100" i="4"/>
  <c r="G99" i="4"/>
  <c r="D99" i="4"/>
  <c r="G98" i="4"/>
  <c r="D98" i="4"/>
  <c r="G97" i="4"/>
  <c r="D97" i="4"/>
  <c r="G96" i="4"/>
  <c r="D96" i="4"/>
  <c r="G95" i="4"/>
  <c r="D95" i="4"/>
  <c r="G94" i="4"/>
  <c r="D94" i="4"/>
  <c r="G93" i="4"/>
  <c r="D93" i="4"/>
  <c r="G92" i="4"/>
  <c r="D92" i="4"/>
  <c r="G91" i="4"/>
  <c r="D91" i="4"/>
  <c r="D90" i="4"/>
  <c r="G89" i="4"/>
  <c r="D89" i="4"/>
  <c r="G88" i="4"/>
  <c r="D88" i="4"/>
  <c r="G87" i="4"/>
  <c r="D87" i="4"/>
  <c r="G86" i="4"/>
  <c r="D86" i="4"/>
  <c r="G85" i="4"/>
  <c r="D85" i="4"/>
  <c r="G84" i="4"/>
  <c r="D84" i="4"/>
  <c r="G83" i="4"/>
  <c r="D83" i="4"/>
  <c r="G82" i="4"/>
  <c r="D82" i="4"/>
  <c r="G81" i="4"/>
  <c r="D81" i="4"/>
  <c r="G80" i="4"/>
  <c r="D80" i="4"/>
  <c r="G79" i="4"/>
  <c r="D79" i="4"/>
  <c r="D78" i="4"/>
  <c r="G77" i="4"/>
  <c r="D77" i="4"/>
  <c r="G76" i="4"/>
  <c r="D76" i="4"/>
  <c r="G75" i="4"/>
  <c r="D75" i="4"/>
  <c r="G74" i="4"/>
  <c r="D74" i="4"/>
  <c r="G73" i="4"/>
  <c r="D73" i="4"/>
  <c r="G72" i="4"/>
  <c r="D72" i="4"/>
  <c r="G71" i="4"/>
  <c r="D71" i="4"/>
  <c r="G70" i="4"/>
  <c r="D70" i="4"/>
  <c r="G69" i="4"/>
  <c r="D69" i="4"/>
  <c r="G68" i="4"/>
  <c r="D68" i="4"/>
  <c r="G67" i="4"/>
  <c r="D67" i="4"/>
  <c r="D66" i="4"/>
  <c r="G65" i="4"/>
  <c r="D65" i="4"/>
  <c r="G64" i="4"/>
  <c r="D64" i="4"/>
  <c r="G63" i="4"/>
  <c r="D63" i="4"/>
  <c r="G62" i="4"/>
  <c r="D62" i="4"/>
  <c r="G61" i="4"/>
  <c r="D61" i="4"/>
  <c r="G60" i="4"/>
  <c r="D60" i="4"/>
  <c r="G59" i="4"/>
  <c r="D59" i="4"/>
  <c r="G58" i="4"/>
  <c r="D58" i="4"/>
  <c r="G57" i="4"/>
  <c r="D57" i="4"/>
  <c r="G56" i="4"/>
  <c r="D56" i="4"/>
  <c r="G55" i="4"/>
  <c r="D55" i="4"/>
  <c r="C55" i="4"/>
  <c r="D54" i="4"/>
  <c r="G53" i="4"/>
  <c r="D53" i="4"/>
  <c r="C53" i="4"/>
  <c r="G52" i="4"/>
  <c r="D52" i="4"/>
  <c r="G51" i="4"/>
  <c r="D51" i="4"/>
  <c r="C51" i="4"/>
  <c r="G50" i="4"/>
  <c r="D50" i="4"/>
  <c r="G49" i="4"/>
  <c r="D49" i="4"/>
  <c r="G48" i="4"/>
  <c r="D48" i="4"/>
  <c r="G47" i="4"/>
  <c r="D47" i="4"/>
  <c r="C47" i="4"/>
  <c r="G46" i="4"/>
  <c r="D46" i="4"/>
  <c r="G45" i="4"/>
  <c r="D45" i="4"/>
  <c r="C45" i="4"/>
  <c r="G44" i="4"/>
  <c r="D44" i="4"/>
  <c r="G43" i="4"/>
  <c r="D43" i="4"/>
  <c r="C43" i="4"/>
  <c r="D42" i="4"/>
  <c r="G41" i="4"/>
  <c r="D41" i="4"/>
  <c r="C41" i="4"/>
  <c r="G40" i="4"/>
  <c r="D40" i="4"/>
  <c r="G39" i="4"/>
  <c r="D39" i="4"/>
  <c r="G38" i="4"/>
  <c r="D38" i="4"/>
  <c r="G37" i="4"/>
  <c r="D37" i="4"/>
  <c r="C37" i="4"/>
  <c r="G36" i="4"/>
  <c r="D36" i="4"/>
  <c r="G35" i="4"/>
  <c r="D35" i="4"/>
  <c r="G34" i="4"/>
  <c r="D34" i="4"/>
  <c r="C34" i="4"/>
  <c r="G33" i="4"/>
  <c r="D33" i="4"/>
  <c r="G32" i="4"/>
  <c r="D32" i="4"/>
  <c r="G31" i="4"/>
  <c r="D31" i="4"/>
  <c r="D30" i="4"/>
  <c r="G29" i="4"/>
  <c r="D29" i="4"/>
  <c r="G28" i="4"/>
  <c r="D28" i="4"/>
  <c r="G27" i="4"/>
  <c r="D27" i="4"/>
  <c r="G26" i="4"/>
  <c r="D26" i="4"/>
  <c r="G25" i="4"/>
  <c r="D25" i="4"/>
  <c r="G24" i="4"/>
  <c r="D24" i="4"/>
  <c r="G23" i="4"/>
  <c r="D23" i="4"/>
  <c r="G22" i="4"/>
  <c r="D22" i="4"/>
  <c r="G21" i="4"/>
  <c r="D21" i="4"/>
  <c r="G20" i="4"/>
  <c r="D20" i="4"/>
  <c r="G19" i="4"/>
  <c r="D19" i="4"/>
  <c r="D18" i="4"/>
  <c r="G17" i="4"/>
  <c r="D17" i="4"/>
  <c r="G16" i="4"/>
  <c r="D16" i="4"/>
  <c r="G15" i="4"/>
  <c r="D15" i="4"/>
  <c r="G14" i="4"/>
  <c r="D14" i="4"/>
  <c r="G13" i="4"/>
  <c r="D13" i="4"/>
  <c r="G12" i="4"/>
  <c r="D12" i="4"/>
  <c r="G11" i="4"/>
  <c r="D11" i="4"/>
  <c r="G10" i="4"/>
  <c r="D10" i="4"/>
  <c r="G9" i="4"/>
  <c r="D9" i="4"/>
  <c r="G8" i="4"/>
  <c r="D8" i="4"/>
  <c r="G7" i="4"/>
  <c r="D7" i="4"/>
  <c r="H6" i="4"/>
  <c r="G6" i="4"/>
  <c r="F6" i="4"/>
  <c r="E6" i="4"/>
  <c r="D6" i="4"/>
  <c r="C6" i="4"/>
  <c r="J55" i="3"/>
  <c r="I55" i="3"/>
  <c r="J54" i="3"/>
  <c r="I54" i="3"/>
  <c r="J53" i="3"/>
  <c r="I53" i="3"/>
  <c r="J52" i="3"/>
  <c r="I52" i="3"/>
  <c r="J51" i="3"/>
  <c r="I51" i="3"/>
  <c r="J50" i="3"/>
  <c r="I50" i="3"/>
  <c r="J49" i="3"/>
  <c r="I49" i="3"/>
  <c r="J48" i="3"/>
  <c r="I48" i="3"/>
  <c r="J47" i="3"/>
  <c r="I47" i="3"/>
  <c r="J46" i="3"/>
  <c r="I46" i="3"/>
  <c r="J45" i="3"/>
  <c r="I45" i="3"/>
  <c r="J44" i="3"/>
  <c r="I44" i="3"/>
  <c r="J43" i="3"/>
  <c r="I43" i="3"/>
  <c r="J42" i="3"/>
  <c r="I42" i="3"/>
  <c r="J41" i="3"/>
  <c r="I41" i="3"/>
  <c r="J40" i="3"/>
  <c r="I40" i="3"/>
  <c r="J39" i="3"/>
  <c r="I39" i="3"/>
  <c r="J38" i="3"/>
  <c r="I3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J7" i="3"/>
  <c r="I7" i="3"/>
  <c r="J6" i="3"/>
  <c r="I6" i="3"/>
  <c r="B20" i="2"/>
  <c r="J31" i="4" s="1"/>
  <c r="B19" i="2"/>
  <c r="F25" i="4" s="1"/>
  <c r="B13" i="2"/>
  <c r="K9" i="1" s="1"/>
  <c r="B8" i="2"/>
  <c r="B7" i="2"/>
  <c r="C33" i="4" s="1"/>
  <c r="B5" i="2"/>
  <c r="B33" i="4" s="1"/>
  <c r="AA29" i="1" s="1"/>
  <c r="K10" i="1"/>
  <c r="K8" i="1"/>
  <c r="K7" i="1"/>
  <c r="K6" i="1"/>
  <c r="K5" i="1"/>
  <c r="A5" i="1"/>
  <c r="Y3" i="1"/>
  <c r="I6" i="4" l="1"/>
  <c r="H15" i="4"/>
  <c r="C36" i="4"/>
  <c r="C39" i="4"/>
  <c r="C49" i="4"/>
  <c r="B22" i="4"/>
  <c r="Q18" i="1" s="1"/>
  <c r="B7" i="4"/>
  <c r="B32" i="4"/>
  <c r="Q28" i="1" s="1"/>
  <c r="B10" i="4"/>
  <c r="B23" i="4"/>
  <c r="AA19" i="1" s="1"/>
  <c r="J13" i="4"/>
  <c r="J19" i="4"/>
  <c r="Q29" i="1"/>
  <c r="N29" i="1"/>
  <c r="J27" i="4"/>
  <c r="J126" i="4"/>
  <c r="J124" i="4"/>
  <c r="J122" i="4"/>
  <c r="J120" i="4"/>
  <c r="J118" i="4"/>
  <c r="J116" i="4"/>
  <c r="J114" i="4"/>
  <c r="J112" i="4"/>
  <c r="J110" i="4"/>
  <c r="J108" i="4"/>
  <c r="J106" i="4"/>
  <c r="J104" i="4"/>
  <c r="J102" i="4"/>
  <c r="J100" i="4"/>
  <c r="J98" i="4"/>
  <c r="J96" i="4"/>
  <c r="J94" i="4"/>
  <c r="J92" i="4"/>
  <c r="J90" i="4"/>
  <c r="J88" i="4"/>
  <c r="J86" i="4"/>
  <c r="J84" i="4"/>
  <c r="J82" i="4"/>
  <c r="J80" i="4"/>
  <c r="J78" i="4"/>
  <c r="J76" i="4"/>
  <c r="J74" i="4"/>
  <c r="J72" i="4"/>
  <c r="J125" i="4"/>
  <c r="J123" i="4"/>
  <c r="J121" i="4"/>
  <c r="J119" i="4"/>
  <c r="J117" i="4"/>
  <c r="J115" i="4"/>
  <c r="J113" i="4"/>
  <c r="J111" i="4"/>
  <c r="J109" i="4"/>
  <c r="J107" i="4"/>
  <c r="J105" i="4"/>
  <c r="J103" i="4"/>
  <c r="J101" i="4"/>
  <c r="J99" i="4"/>
  <c r="J97" i="4"/>
  <c r="J95" i="4"/>
  <c r="J93" i="4"/>
  <c r="J91" i="4"/>
  <c r="J89" i="4"/>
  <c r="J87" i="4"/>
  <c r="J85" i="4"/>
  <c r="J83" i="4"/>
  <c r="J81" i="4"/>
  <c r="J79" i="4"/>
  <c r="J77" i="4"/>
  <c r="J75" i="4"/>
  <c r="J73" i="4"/>
  <c r="J71" i="4"/>
  <c r="J70" i="4"/>
  <c r="J63" i="4"/>
  <c r="J64" i="4"/>
  <c r="J56" i="4"/>
  <c r="J55" i="4"/>
  <c r="J54" i="4"/>
  <c r="J53" i="4"/>
  <c r="J52" i="4"/>
  <c r="J51" i="4"/>
  <c r="J50" i="4"/>
  <c r="J49" i="4"/>
  <c r="J48" i="4"/>
  <c r="J47" i="4"/>
  <c r="J46" i="4"/>
  <c r="J45" i="4"/>
  <c r="J44" i="4"/>
  <c r="J43" i="4"/>
  <c r="J42" i="4"/>
  <c r="J41" i="4"/>
  <c r="J40" i="4"/>
  <c r="J39" i="4"/>
  <c r="J38" i="4"/>
  <c r="J37" i="4"/>
  <c r="J69" i="4"/>
  <c r="J65" i="4"/>
  <c r="J57" i="4"/>
  <c r="J58" i="4"/>
  <c r="J35" i="4"/>
  <c r="J66" i="4"/>
  <c r="J59" i="4"/>
  <c r="J34" i="4"/>
  <c r="J60" i="4"/>
  <c r="J67" i="4"/>
  <c r="J61" i="4"/>
  <c r="J32" i="4"/>
  <c r="J22" i="4"/>
  <c r="J33" i="4"/>
  <c r="J28" i="4"/>
  <c r="J23" i="4"/>
  <c r="J62" i="4"/>
  <c r="J29" i="4"/>
  <c r="J24" i="4"/>
  <c r="J68" i="4"/>
  <c r="J36" i="4"/>
  <c r="J25" i="4"/>
  <c r="J17" i="4"/>
  <c r="J16" i="4"/>
  <c r="J15" i="4"/>
  <c r="J20" i="4"/>
  <c r="J11" i="4"/>
  <c r="J6" i="4"/>
  <c r="J14" i="4"/>
  <c r="J7" i="4"/>
  <c r="J30" i="4"/>
  <c r="J26" i="4"/>
  <c r="J18" i="4"/>
  <c r="J12" i="4"/>
  <c r="J8" i="4"/>
  <c r="J21" i="4"/>
  <c r="J9" i="4"/>
  <c r="K6" i="4"/>
  <c r="L6" i="4"/>
  <c r="F125" i="4"/>
  <c r="F123" i="4"/>
  <c r="F121" i="4"/>
  <c r="F119" i="4"/>
  <c r="F117" i="4"/>
  <c r="F115" i="4"/>
  <c r="F113" i="4"/>
  <c r="F111" i="4"/>
  <c r="F109" i="4"/>
  <c r="F107" i="4"/>
  <c r="F105" i="4"/>
  <c r="F103" i="4"/>
  <c r="F101" i="4"/>
  <c r="F99" i="4"/>
  <c r="F97" i="4"/>
  <c r="F95" i="4"/>
  <c r="F93" i="4"/>
  <c r="F91" i="4"/>
  <c r="F89" i="4"/>
  <c r="F87" i="4"/>
  <c r="F85" i="4"/>
  <c r="F83" i="4"/>
  <c r="F81" i="4"/>
  <c r="F79" i="4"/>
  <c r="F77" i="4"/>
  <c r="F75" i="4"/>
  <c r="F73" i="4"/>
  <c r="G126" i="4"/>
  <c r="F126" i="4"/>
  <c r="F124" i="4"/>
  <c r="F122" i="4"/>
  <c r="F120" i="4"/>
  <c r="F118" i="4"/>
  <c r="F116" i="4"/>
  <c r="F114" i="4"/>
  <c r="F112" i="4"/>
  <c r="F110" i="4"/>
  <c r="F108" i="4"/>
  <c r="F106" i="4"/>
  <c r="F104" i="4"/>
  <c r="F102" i="4"/>
  <c r="F100" i="4"/>
  <c r="F98" i="4"/>
  <c r="F96" i="4"/>
  <c r="F94" i="4"/>
  <c r="F92" i="4"/>
  <c r="F90" i="4"/>
  <c r="F88" i="4"/>
  <c r="F86" i="4"/>
  <c r="F84" i="4"/>
  <c r="F82" i="4"/>
  <c r="F80" i="4"/>
  <c r="F78" i="4"/>
  <c r="F76" i="4"/>
  <c r="F74" i="4"/>
  <c r="F72" i="4"/>
  <c r="G114" i="4"/>
  <c r="G90" i="4"/>
  <c r="G78" i="4"/>
  <c r="F71" i="4"/>
  <c r="G66" i="4"/>
  <c r="F67" i="4"/>
  <c r="F60" i="4"/>
  <c r="F61" i="4"/>
  <c r="F68" i="4"/>
  <c r="F62" i="4"/>
  <c r="F63" i="4"/>
  <c r="G54" i="4"/>
  <c r="G42" i="4"/>
  <c r="F69" i="4"/>
  <c r="F64" i="4"/>
  <c r="F56" i="4"/>
  <c r="F55" i="4"/>
  <c r="F54" i="4"/>
  <c r="F53" i="4"/>
  <c r="F52" i="4"/>
  <c r="F51" i="4"/>
  <c r="F50" i="4"/>
  <c r="F49" i="4"/>
  <c r="F48" i="4"/>
  <c r="F47" i="4"/>
  <c r="F46" i="4"/>
  <c r="F45" i="4"/>
  <c r="F44" i="4"/>
  <c r="F43" i="4"/>
  <c r="F42" i="4"/>
  <c r="F41" i="4"/>
  <c r="F40" i="4"/>
  <c r="F39" i="4"/>
  <c r="F38" i="4"/>
  <c r="F37" i="4"/>
  <c r="F65" i="4"/>
  <c r="F57" i="4"/>
  <c r="F36" i="4"/>
  <c r="G30" i="4"/>
  <c r="G18" i="4"/>
  <c r="F70" i="4"/>
  <c r="F66" i="4"/>
  <c r="G102" i="4"/>
  <c r="F26" i="4"/>
  <c r="F15" i="4"/>
  <c r="F14" i="4"/>
  <c r="H11" i="4"/>
  <c r="F31" i="4"/>
  <c r="F20" i="4"/>
  <c r="F19" i="4"/>
  <c r="F13" i="4"/>
  <c r="F12" i="4"/>
  <c r="H9" i="4"/>
  <c r="F35" i="4"/>
  <c r="F32" i="4"/>
  <c r="F27" i="4"/>
  <c r="F22" i="4"/>
  <c r="F21" i="4"/>
  <c r="F11" i="4"/>
  <c r="F10" i="4"/>
  <c r="H7" i="4"/>
  <c r="F59" i="4"/>
  <c r="F28" i="4"/>
  <c r="F9" i="4"/>
  <c r="F8" i="4"/>
  <c r="F33" i="4"/>
  <c r="F23" i="4"/>
  <c r="F7" i="4"/>
  <c r="H39" i="4"/>
  <c r="F58" i="4"/>
  <c r="H47" i="4"/>
  <c r="F29" i="4"/>
  <c r="F17" i="4"/>
  <c r="H13" i="4"/>
  <c r="H10" i="4"/>
  <c r="I10" i="4" s="1"/>
  <c r="H14" i="4"/>
  <c r="H18" i="4"/>
  <c r="F24" i="4"/>
  <c r="H20" i="4"/>
  <c r="H16" i="4"/>
  <c r="H37" i="4"/>
  <c r="H42" i="4"/>
  <c r="F30" i="4"/>
  <c r="F18" i="4"/>
  <c r="F16" i="4"/>
  <c r="F34" i="4"/>
  <c r="H12" i="4"/>
  <c r="H8" i="4"/>
  <c r="J10" i="4"/>
  <c r="B28" i="4"/>
  <c r="H61" i="4"/>
  <c r="B43" i="4"/>
  <c r="B29" i="4"/>
  <c r="B126" i="4"/>
  <c r="B124" i="4"/>
  <c r="B122" i="4"/>
  <c r="B120" i="4"/>
  <c r="B118" i="4"/>
  <c r="B116" i="4"/>
  <c r="B114" i="4"/>
  <c r="B112" i="4"/>
  <c r="B110" i="4"/>
  <c r="B108" i="4"/>
  <c r="B106" i="4"/>
  <c r="B104" i="4"/>
  <c r="B102" i="4"/>
  <c r="B100" i="4"/>
  <c r="B98" i="4"/>
  <c r="B96" i="4"/>
  <c r="B94" i="4"/>
  <c r="B92" i="4"/>
  <c r="B90" i="4"/>
  <c r="B88" i="4"/>
  <c r="B86" i="4"/>
  <c r="B84" i="4"/>
  <c r="B82" i="4"/>
  <c r="B80" i="4"/>
  <c r="B78" i="4"/>
  <c r="B76" i="4"/>
  <c r="B74" i="4"/>
  <c r="B125" i="4"/>
  <c r="B123" i="4"/>
  <c r="B121" i="4"/>
  <c r="B119" i="4"/>
  <c r="B117" i="4"/>
  <c r="B115" i="4"/>
  <c r="B113" i="4"/>
  <c r="B111" i="4"/>
  <c r="B109" i="4"/>
  <c r="B107" i="4"/>
  <c r="B105" i="4"/>
  <c r="B103" i="4"/>
  <c r="B101" i="4"/>
  <c r="B99" i="4"/>
  <c r="B97" i="4"/>
  <c r="B95" i="4"/>
  <c r="B93" i="4"/>
  <c r="B91" i="4"/>
  <c r="B89" i="4"/>
  <c r="B87" i="4"/>
  <c r="B85" i="4"/>
  <c r="B83" i="4"/>
  <c r="B81" i="4"/>
  <c r="B79" i="4"/>
  <c r="B77" i="4"/>
  <c r="B75" i="4"/>
  <c r="B73" i="4"/>
  <c r="B71" i="4"/>
  <c r="B72" i="4"/>
  <c r="B70" i="4"/>
  <c r="B66" i="4"/>
  <c r="B58" i="4"/>
  <c r="B36" i="4"/>
  <c r="B59" i="4"/>
  <c r="B35" i="4"/>
  <c r="B67" i="4"/>
  <c r="B60" i="4"/>
  <c r="B61" i="4"/>
  <c r="B34" i="4"/>
  <c r="B68" i="4"/>
  <c r="B62" i="4"/>
  <c r="B63" i="4"/>
  <c r="B69" i="4"/>
  <c r="B64" i="4"/>
  <c r="B44" i="4"/>
  <c r="B24" i="4"/>
  <c r="B53" i="4"/>
  <c r="B51" i="4"/>
  <c r="B49" i="4"/>
  <c r="B42" i="4"/>
  <c r="B39" i="4"/>
  <c r="B30" i="4"/>
  <c r="B25" i="4"/>
  <c r="B17" i="4"/>
  <c r="B57" i="4"/>
  <c r="B55" i="4"/>
  <c r="B47" i="4"/>
  <c r="B18" i="4"/>
  <c r="B16" i="4"/>
  <c r="B15" i="4"/>
  <c r="B40" i="4"/>
  <c r="B37" i="4"/>
  <c r="B31" i="4"/>
  <c r="B26" i="4"/>
  <c r="B19" i="4"/>
  <c r="B14" i="4"/>
  <c r="B13" i="4"/>
  <c r="B65" i="4"/>
  <c r="B54" i="4"/>
  <c r="B52" i="4"/>
  <c r="B50" i="4"/>
  <c r="B48" i="4"/>
  <c r="B45" i="4"/>
  <c r="B27" i="4"/>
  <c r="B21" i="4"/>
  <c r="B20" i="4"/>
  <c r="B12" i="4"/>
  <c r="B11" i="4"/>
  <c r="B56" i="4"/>
  <c r="E33" i="4"/>
  <c r="B9" i="4"/>
  <c r="E36" i="4"/>
  <c r="B38" i="4"/>
  <c r="B41" i="4"/>
  <c r="B46" i="4"/>
  <c r="B6" i="4"/>
  <c r="B8" i="4"/>
  <c r="E41" i="4"/>
  <c r="E43" i="4"/>
  <c r="H44" i="4"/>
  <c r="H126" i="4"/>
  <c r="I126" i="4" s="1"/>
  <c r="H124" i="4"/>
  <c r="H116" i="4"/>
  <c r="H108" i="4"/>
  <c r="H100" i="4"/>
  <c r="H92" i="4"/>
  <c r="H84" i="4"/>
  <c r="H119" i="4"/>
  <c r="H111" i="4"/>
  <c r="H103" i="4"/>
  <c r="H95" i="4"/>
  <c r="H87" i="4"/>
  <c r="H81" i="4"/>
  <c r="H77" i="4"/>
  <c r="H72" i="4"/>
  <c r="H69" i="4"/>
  <c r="H67" i="4"/>
  <c r="H122" i="4"/>
  <c r="H114" i="4"/>
  <c r="H106" i="4"/>
  <c r="H98" i="4"/>
  <c r="H90" i="4"/>
  <c r="H73" i="4"/>
  <c r="H125" i="4"/>
  <c r="H117" i="4"/>
  <c r="I117" i="4" s="1"/>
  <c r="H109" i="4"/>
  <c r="H101" i="4"/>
  <c r="H93" i="4"/>
  <c r="H85" i="4"/>
  <c r="H82" i="4"/>
  <c r="H78" i="4"/>
  <c r="H74" i="4"/>
  <c r="H71" i="4"/>
  <c r="H120" i="4"/>
  <c r="H112" i="4"/>
  <c r="H104" i="4"/>
  <c r="H96" i="4"/>
  <c r="H88" i="4"/>
  <c r="H123" i="4"/>
  <c r="H115" i="4"/>
  <c r="H107" i="4"/>
  <c r="H99" i="4"/>
  <c r="H91" i="4"/>
  <c r="H83" i="4"/>
  <c r="H79" i="4"/>
  <c r="H75" i="4"/>
  <c r="H70" i="4"/>
  <c r="H118" i="4"/>
  <c r="H110" i="4"/>
  <c r="I110" i="4" s="1"/>
  <c r="H102" i="4"/>
  <c r="H94" i="4"/>
  <c r="H86" i="4"/>
  <c r="H68" i="4"/>
  <c r="H62" i="4"/>
  <c r="H33" i="4"/>
  <c r="H31" i="4"/>
  <c r="H29" i="4"/>
  <c r="H27" i="4"/>
  <c r="H25" i="4"/>
  <c r="H23" i="4"/>
  <c r="H21" i="4"/>
  <c r="H19" i="4"/>
  <c r="H17" i="4"/>
  <c r="H63" i="4"/>
  <c r="H121" i="4"/>
  <c r="I121" i="4" s="1"/>
  <c r="H97" i="4"/>
  <c r="H80" i="4"/>
  <c r="H64" i="4"/>
  <c r="H56" i="4"/>
  <c r="H55" i="4"/>
  <c r="H54" i="4"/>
  <c r="H53" i="4"/>
  <c r="H52" i="4"/>
  <c r="H51" i="4"/>
  <c r="H50" i="4"/>
  <c r="H49" i="4"/>
  <c r="H48" i="4"/>
  <c r="H76" i="4"/>
  <c r="H65" i="4"/>
  <c r="H57" i="4"/>
  <c r="H36" i="4"/>
  <c r="H113" i="4"/>
  <c r="H89" i="4"/>
  <c r="H58" i="4"/>
  <c r="H35" i="4"/>
  <c r="H32" i="4"/>
  <c r="H30" i="4"/>
  <c r="H28" i="4"/>
  <c r="H26" i="4"/>
  <c r="I26" i="4" s="1"/>
  <c r="H24" i="4"/>
  <c r="H22" i="4"/>
  <c r="H66" i="4"/>
  <c r="H59" i="4"/>
  <c r="H34" i="4"/>
  <c r="H60" i="4"/>
  <c r="H41" i="4"/>
  <c r="E45" i="4"/>
  <c r="H46" i="4"/>
  <c r="E37" i="4"/>
  <c r="H38" i="4"/>
  <c r="H43" i="4"/>
  <c r="E47" i="4"/>
  <c r="E55" i="4"/>
  <c r="H105" i="4"/>
  <c r="E34" i="4"/>
  <c r="E39" i="4"/>
  <c r="H40" i="4"/>
  <c r="H45" i="4"/>
  <c r="E49" i="4"/>
  <c r="E51" i="4"/>
  <c r="I51" i="4" s="1"/>
  <c r="E53" i="4"/>
  <c r="C7" i="4"/>
  <c r="E7" i="4" s="1"/>
  <c r="I7" i="4" s="1"/>
  <c r="C9" i="4"/>
  <c r="E9" i="4" s="1"/>
  <c r="C11" i="4"/>
  <c r="E11" i="4" s="1"/>
  <c r="C13" i="4"/>
  <c r="E13" i="4" s="1"/>
  <c r="C15" i="4"/>
  <c r="E15" i="4" s="1"/>
  <c r="I15" i="4" s="1"/>
  <c r="C17" i="4"/>
  <c r="E17" i="4" s="1"/>
  <c r="C19" i="4"/>
  <c r="E19" i="4" s="1"/>
  <c r="I19" i="4" s="1"/>
  <c r="C21" i="4"/>
  <c r="E21" i="4" s="1"/>
  <c r="C23" i="4"/>
  <c r="E23" i="4" s="1"/>
  <c r="C25" i="4"/>
  <c r="E25" i="4" s="1"/>
  <c r="C27" i="4"/>
  <c r="E27" i="4" s="1"/>
  <c r="C29" i="4"/>
  <c r="E29" i="4" s="1"/>
  <c r="C31" i="4"/>
  <c r="E31" i="4" s="1"/>
  <c r="I39" i="4"/>
  <c r="C126" i="4"/>
  <c r="E126" i="4" s="1"/>
  <c r="C124" i="4"/>
  <c r="E124" i="4" s="1"/>
  <c r="I124" i="4" s="1"/>
  <c r="C122" i="4"/>
  <c r="E122" i="4" s="1"/>
  <c r="I122" i="4" s="1"/>
  <c r="C120" i="4"/>
  <c r="E120" i="4" s="1"/>
  <c r="C118" i="4"/>
  <c r="E118" i="4" s="1"/>
  <c r="C116" i="4"/>
  <c r="E116" i="4" s="1"/>
  <c r="I116" i="4" s="1"/>
  <c r="C114" i="4"/>
  <c r="E114" i="4" s="1"/>
  <c r="C112" i="4"/>
  <c r="E112" i="4" s="1"/>
  <c r="I112" i="4" s="1"/>
  <c r="C110" i="4"/>
  <c r="E110" i="4" s="1"/>
  <c r="C108" i="4"/>
  <c r="E108" i="4" s="1"/>
  <c r="C106" i="4"/>
  <c r="E106" i="4" s="1"/>
  <c r="C104" i="4"/>
  <c r="E104" i="4" s="1"/>
  <c r="C102" i="4"/>
  <c r="E102" i="4" s="1"/>
  <c r="C100" i="4"/>
  <c r="E100" i="4" s="1"/>
  <c r="C98" i="4"/>
  <c r="E98" i="4" s="1"/>
  <c r="C96" i="4"/>
  <c r="E96" i="4" s="1"/>
  <c r="I96" i="4" s="1"/>
  <c r="C94" i="4"/>
  <c r="E94" i="4" s="1"/>
  <c r="C92" i="4"/>
  <c r="E92" i="4" s="1"/>
  <c r="C90" i="4"/>
  <c r="E90" i="4" s="1"/>
  <c r="C88" i="4"/>
  <c r="E88" i="4" s="1"/>
  <c r="C86" i="4"/>
  <c r="E86" i="4" s="1"/>
  <c r="C84" i="4"/>
  <c r="E84" i="4" s="1"/>
  <c r="C123" i="4"/>
  <c r="E123" i="4" s="1"/>
  <c r="C115" i="4"/>
  <c r="E115" i="4" s="1"/>
  <c r="C107" i="4"/>
  <c r="E107" i="4" s="1"/>
  <c r="C99" i="4"/>
  <c r="E99" i="4" s="1"/>
  <c r="I99" i="4" s="1"/>
  <c r="C91" i="4"/>
  <c r="E91" i="4" s="1"/>
  <c r="C83" i="4"/>
  <c r="E83" i="4" s="1"/>
  <c r="C79" i="4"/>
  <c r="E79" i="4" s="1"/>
  <c r="C75" i="4"/>
  <c r="E75" i="4" s="1"/>
  <c r="C121" i="4"/>
  <c r="E121" i="4" s="1"/>
  <c r="C113" i="4"/>
  <c r="E113" i="4" s="1"/>
  <c r="C105" i="4"/>
  <c r="E105" i="4" s="1"/>
  <c r="C97" i="4"/>
  <c r="E97" i="4" s="1"/>
  <c r="I97" i="4" s="1"/>
  <c r="C89" i="4"/>
  <c r="E89" i="4" s="1"/>
  <c r="C80" i="4"/>
  <c r="E80" i="4" s="1"/>
  <c r="C76" i="4"/>
  <c r="E76" i="4" s="1"/>
  <c r="C70" i="4"/>
  <c r="E70" i="4" s="1"/>
  <c r="C68" i="4"/>
  <c r="E68" i="4" s="1"/>
  <c r="C66" i="4"/>
  <c r="E66" i="4" s="1"/>
  <c r="C64" i="4"/>
  <c r="E64" i="4" s="1"/>
  <c r="C62" i="4"/>
  <c r="E62" i="4" s="1"/>
  <c r="C60" i="4"/>
  <c r="E60" i="4" s="1"/>
  <c r="C58" i="4"/>
  <c r="E58" i="4" s="1"/>
  <c r="C56" i="4"/>
  <c r="E56" i="4" s="1"/>
  <c r="C54" i="4"/>
  <c r="E54" i="4" s="1"/>
  <c r="C52" i="4"/>
  <c r="E52" i="4" s="1"/>
  <c r="C50" i="4"/>
  <c r="E50" i="4" s="1"/>
  <c r="C48" i="4"/>
  <c r="E48" i="4" s="1"/>
  <c r="C46" i="4"/>
  <c r="E46" i="4" s="1"/>
  <c r="C44" i="4"/>
  <c r="E44" i="4" s="1"/>
  <c r="C42" i="4"/>
  <c r="E42" i="4" s="1"/>
  <c r="C40" i="4"/>
  <c r="E40" i="4" s="1"/>
  <c r="C38" i="4"/>
  <c r="E38" i="4" s="1"/>
  <c r="C119" i="4"/>
  <c r="E119" i="4" s="1"/>
  <c r="C111" i="4"/>
  <c r="E111" i="4" s="1"/>
  <c r="C103" i="4"/>
  <c r="E103" i="4" s="1"/>
  <c r="I103" i="4" s="1"/>
  <c r="C95" i="4"/>
  <c r="E95" i="4" s="1"/>
  <c r="C87" i="4"/>
  <c r="E87" i="4" s="1"/>
  <c r="C81" i="4"/>
  <c r="E81" i="4" s="1"/>
  <c r="C77" i="4"/>
  <c r="E77" i="4" s="1"/>
  <c r="C73" i="4"/>
  <c r="E73" i="4" s="1"/>
  <c r="C72" i="4"/>
  <c r="E72" i="4" s="1"/>
  <c r="C125" i="4"/>
  <c r="E125" i="4" s="1"/>
  <c r="C117" i="4"/>
  <c r="E117" i="4" s="1"/>
  <c r="C109" i="4"/>
  <c r="E109" i="4" s="1"/>
  <c r="C101" i="4"/>
  <c r="E101" i="4" s="1"/>
  <c r="I101" i="4" s="1"/>
  <c r="C93" i="4"/>
  <c r="E93" i="4" s="1"/>
  <c r="C85" i="4"/>
  <c r="E85" i="4" s="1"/>
  <c r="C82" i="4"/>
  <c r="E82" i="4" s="1"/>
  <c r="C78" i="4"/>
  <c r="E78" i="4" s="1"/>
  <c r="C74" i="4"/>
  <c r="E74" i="4" s="1"/>
  <c r="C69" i="4"/>
  <c r="E69" i="4" s="1"/>
  <c r="C67" i="4"/>
  <c r="E67" i="4" s="1"/>
  <c r="C65" i="4"/>
  <c r="E65" i="4" s="1"/>
  <c r="C63" i="4"/>
  <c r="E63" i="4" s="1"/>
  <c r="C61" i="4"/>
  <c r="E61" i="4" s="1"/>
  <c r="C59" i="4"/>
  <c r="E59" i="4" s="1"/>
  <c r="C57" i="4"/>
  <c r="E57" i="4" s="1"/>
  <c r="C71" i="4"/>
  <c r="E71" i="4" s="1"/>
  <c r="C8" i="4"/>
  <c r="E8" i="4" s="1"/>
  <c r="C10" i="4"/>
  <c r="E10" i="4" s="1"/>
  <c r="C12" i="4"/>
  <c r="E12" i="4" s="1"/>
  <c r="C14" i="4"/>
  <c r="E14" i="4" s="1"/>
  <c r="I14" i="4" s="1"/>
  <c r="C16" i="4"/>
  <c r="E16" i="4" s="1"/>
  <c r="C18" i="4"/>
  <c r="E18" i="4" s="1"/>
  <c r="C20" i="4"/>
  <c r="E20" i="4" s="1"/>
  <c r="C22" i="4"/>
  <c r="E22" i="4" s="1"/>
  <c r="C24" i="4"/>
  <c r="E24" i="4" s="1"/>
  <c r="C26" i="4"/>
  <c r="E26" i="4" s="1"/>
  <c r="C28" i="4"/>
  <c r="E28" i="4" s="1"/>
  <c r="C30" i="4"/>
  <c r="E30" i="4" s="1"/>
  <c r="C32" i="4"/>
  <c r="E32" i="4" s="1"/>
  <c r="C35" i="4"/>
  <c r="E35" i="4" s="1"/>
  <c r="I74" i="4" l="1"/>
  <c r="I69" i="4"/>
  <c r="I38" i="4"/>
  <c r="I106" i="4"/>
  <c r="I87" i="4"/>
  <c r="I108" i="4"/>
  <c r="O104" i="1" s="1"/>
  <c r="I44" i="4"/>
  <c r="O40" i="1" s="1"/>
  <c r="I65" i="4"/>
  <c r="K65" i="4" s="1"/>
  <c r="I34" i="4"/>
  <c r="K34" i="4" s="1"/>
  <c r="I22" i="4"/>
  <c r="O18" i="1" s="1"/>
  <c r="I60" i="4"/>
  <c r="I88" i="4"/>
  <c r="I47" i="4"/>
  <c r="I49" i="4"/>
  <c r="K49" i="4" s="1"/>
  <c r="I86" i="4"/>
  <c r="K86" i="4" s="1"/>
  <c r="I100" i="4"/>
  <c r="O96" i="1" s="1"/>
  <c r="I120" i="4"/>
  <c r="K120" i="4" s="1"/>
  <c r="I59" i="4"/>
  <c r="K59" i="4" s="1"/>
  <c r="I80" i="4"/>
  <c r="K80" i="4" s="1"/>
  <c r="I68" i="4"/>
  <c r="O64" i="1" s="1"/>
  <c r="I41" i="4"/>
  <c r="O37" i="1" s="1"/>
  <c r="I56" i="4"/>
  <c r="K56" i="4" s="1"/>
  <c r="I85" i="4"/>
  <c r="K85" i="4" s="1"/>
  <c r="I79" i="4"/>
  <c r="K79" i="4" s="1"/>
  <c r="I93" i="4"/>
  <c r="O89" i="1" s="1"/>
  <c r="I58" i="4"/>
  <c r="O54" i="1" s="1"/>
  <c r="I104" i="4"/>
  <c r="K104" i="4" s="1"/>
  <c r="N19" i="1"/>
  <c r="I82" i="4"/>
  <c r="K82" i="4" s="1"/>
  <c r="I75" i="4"/>
  <c r="K75" i="4" s="1"/>
  <c r="I67" i="4"/>
  <c r="K67" i="4" s="1"/>
  <c r="I25" i="4"/>
  <c r="O21" i="1" s="1"/>
  <c r="I73" i="4"/>
  <c r="K73" i="4" s="1"/>
  <c r="I70" i="4"/>
  <c r="K70" i="4" s="1"/>
  <c r="I84" i="4"/>
  <c r="K84" i="4" s="1"/>
  <c r="I81" i="4"/>
  <c r="K81" i="4" s="1"/>
  <c r="I92" i="4"/>
  <c r="K92" i="4" s="1"/>
  <c r="I83" i="4"/>
  <c r="K83" i="4" s="1"/>
  <c r="I12" i="4"/>
  <c r="K12" i="4" s="1"/>
  <c r="I43" i="4"/>
  <c r="K43" i="4" s="1"/>
  <c r="I32" i="4"/>
  <c r="K32" i="4" s="1"/>
  <c r="I16" i="4"/>
  <c r="K16" i="4" s="1"/>
  <c r="I77" i="4"/>
  <c r="O73" i="1" s="1"/>
  <c r="I40" i="4"/>
  <c r="O36" i="1" s="1"/>
  <c r="I76" i="4"/>
  <c r="O72" i="1" s="1"/>
  <c r="I42" i="4"/>
  <c r="K42" i="4" s="1"/>
  <c r="I57" i="4"/>
  <c r="O53" i="1" s="1"/>
  <c r="I119" i="4"/>
  <c r="O115" i="1" s="1"/>
  <c r="I24" i="4"/>
  <c r="O20" i="1" s="1"/>
  <c r="I94" i="4"/>
  <c r="K94" i="4" s="1"/>
  <c r="I21" i="4"/>
  <c r="O17" i="1" s="1"/>
  <c r="I55" i="4"/>
  <c r="K55" i="4" s="1"/>
  <c r="I37" i="4"/>
  <c r="O33" i="1" s="1"/>
  <c r="I63" i="4"/>
  <c r="K63" i="4" s="1"/>
  <c r="I98" i="4"/>
  <c r="O94" i="1" s="1"/>
  <c r="I89" i="4"/>
  <c r="K89" i="4" s="1"/>
  <c r="I109" i="4"/>
  <c r="K109" i="4" s="1"/>
  <c r="I64" i="4"/>
  <c r="K64" i="4" s="1"/>
  <c r="I11" i="4"/>
  <c r="O7" i="1" s="1"/>
  <c r="I46" i="4"/>
  <c r="K46" i="4" s="1"/>
  <c r="I20" i="4"/>
  <c r="K20" i="4" s="1"/>
  <c r="I125" i="4"/>
  <c r="K125" i="4" s="1"/>
  <c r="I111" i="4"/>
  <c r="K111" i="4" s="1"/>
  <c r="I50" i="4"/>
  <c r="O46" i="1" s="1"/>
  <c r="I66" i="4"/>
  <c r="K66" i="4" s="1"/>
  <c r="I113" i="4"/>
  <c r="K113" i="4" s="1"/>
  <c r="I115" i="4"/>
  <c r="K115" i="4" s="1"/>
  <c r="I9" i="4"/>
  <c r="K9" i="4" s="1"/>
  <c r="I91" i="4"/>
  <c r="K91" i="4" s="1"/>
  <c r="I8" i="4"/>
  <c r="I95" i="4"/>
  <c r="K95" i="4" s="1"/>
  <c r="I27" i="4"/>
  <c r="O23" i="1" s="1"/>
  <c r="I72" i="4"/>
  <c r="K72" i="4" s="1"/>
  <c r="I123" i="4"/>
  <c r="O119" i="1" s="1"/>
  <c r="I23" i="4"/>
  <c r="K23" i="4" s="1"/>
  <c r="I102" i="4"/>
  <c r="O98" i="1" s="1"/>
  <c r="I18" i="4"/>
  <c r="O14" i="1" s="1"/>
  <c r="I78" i="4"/>
  <c r="O74" i="1" s="1"/>
  <c r="I114" i="4"/>
  <c r="O110" i="1" s="1"/>
  <c r="I53" i="4"/>
  <c r="K53" i="4" s="1"/>
  <c r="I36" i="4"/>
  <c r="O32" i="1" s="1"/>
  <c r="I61" i="4"/>
  <c r="K61" i="4" s="1"/>
  <c r="I118" i="4"/>
  <c r="K118" i="4" s="1"/>
  <c r="I31" i="4"/>
  <c r="O27" i="1" s="1"/>
  <c r="I35" i="4"/>
  <c r="O31" i="1" s="1"/>
  <c r="I90" i="4"/>
  <c r="K90" i="4" s="1"/>
  <c r="I54" i="4"/>
  <c r="O50" i="1" s="1"/>
  <c r="I29" i="4"/>
  <c r="K29" i="4" s="1"/>
  <c r="I13" i="4"/>
  <c r="K13" i="4" s="1"/>
  <c r="I62" i="4"/>
  <c r="O58" i="1" s="1"/>
  <c r="I45" i="4"/>
  <c r="K45" i="4" s="1"/>
  <c r="I52" i="4"/>
  <c r="K52" i="4" s="1"/>
  <c r="I28" i="4"/>
  <c r="K28" i="4" s="1"/>
  <c r="I71" i="4"/>
  <c r="O67" i="1" s="1"/>
  <c r="I48" i="4"/>
  <c r="O44" i="1" s="1"/>
  <c r="I107" i="4"/>
  <c r="K107" i="4" s="1"/>
  <c r="I105" i="4"/>
  <c r="O101" i="1" s="1"/>
  <c r="AA28" i="1"/>
  <c r="N28" i="1"/>
  <c r="AA6" i="1"/>
  <c r="Q6" i="1"/>
  <c r="N6" i="1"/>
  <c r="Q19" i="1"/>
  <c r="N3" i="1"/>
  <c r="AA3" i="1"/>
  <c r="Q3" i="1"/>
  <c r="AA18" i="1"/>
  <c r="N18" i="1"/>
  <c r="K99" i="4"/>
  <c r="O95" i="1"/>
  <c r="K76" i="4"/>
  <c r="K7" i="4"/>
  <c r="O3" i="1"/>
  <c r="L7" i="4"/>
  <c r="R3" i="1" s="1"/>
  <c r="K26" i="4"/>
  <c r="O22" i="1"/>
  <c r="K51" i="4"/>
  <c r="O47" i="1"/>
  <c r="K47" i="4"/>
  <c r="O43" i="1"/>
  <c r="K14" i="4"/>
  <c r="O10" i="1"/>
  <c r="K116" i="4"/>
  <c r="O112" i="1"/>
  <c r="K60" i="4"/>
  <c r="O56" i="1"/>
  <c r="K121" i="4"/>
  <c r="O117" i="1"/>
  <c r="K124" i="4"/>
  <c r="O120" i="1"/>
  <c r="K103" i="4"/>
  <c r="O99" i="1"/>
  <c r="K88" i="4"/>
  <c r="O84" i="1"/>
  <c r="K38" i="4"/>
  <c r="O34" i="1"/>
  <c r="K19" i="4"/>
  <c r="O15" i="1"/>
  <c r="Q4" i="1"/>
  <c r="N4" i="1"/>
  <c r="AA4" i="1"/>
  <c r="AA52" i="1"/>
  <c r="Q52" i="1"/>
  <c r="N52" i="1"/>
  <c r="Q46" i="1"/>
  <c r="AA46" i="1"/>
  <c r="N46" i="1"/>
  <c r="AA27" i="1"/>
  <c r="Q27" i="1"/>
  <c r="N27" i="1"/>
  <c r="N53" i="1"/>
  <c r="Q53" i="1"/>
  <c r="AA53" i="1"/>
  <c r="N49" i="1"/>
  <c r="AA49" i="1"/>
  <c r="Q49" i="1"/>
  <c r="AA30" i="1"/>
  <c r="Q30" i="1"/>
  <c r="N30" i="1"/>
  <c r="Q62" i="1"/>
  <c r="N62" i="1"/>
  <c r="AA62" i="1"/>
  <c r="N77" i="1"/>
  <c r="AA77" i="1"/>
  <c r="Q77" i="1"/>
  <c r="Q93" i="1"/>
  <c r="N93" i="1"/>
  <c r="AA93" i="1"/>
  <c r="AA109" i="1"/>
  <c r="N109" i="1"/>
  <c r="Q109" i="1"/>
  <c r="AA72" i="1"/>
  <c r="Q72" i="1"/>
  <c r="N72" i="1"/>
  <c r="AA88" i="1"/>
  <c r="Q88" i="1"/>
  <c r="N88" i="1"/>
  <c r="Q104" i="1"/>
  <c r="N104" i="1"/>
  <c r="AA104" i="1"/>
  <c r="AA120" i="1"/>
  <c r="Q120" i="1"/>
  <c r="N120" i="1"/>
  <c r="M6" i="4"/>
  <c r="I17" i="4"/>
  <c r="AA7" i="1"/>
  <c r="Q7" i="1"/>
  <c r="N7" i="1"/>
  <c r="Q48" i="1"/>
  <c r="N48" i="1"/>
  <c r="AA48" i="1"/>
  <c r="Q33" i="1"/>
  <c r="N33" i="1"/>
  <c r="AA33" i="1"/>
  <c r="Q13" i="1"/>
  <c r="N13" i="1"/>
  <c r="AA13" i="1"/>
  <c r="N20" i="1"/>
  <c r="Q20" i="1"/>
  <c r="AA20" i="1"/>
  <c r="N57" i="1"/>
  <c r="AA57" i="1"/>
  <c r="Q57" i="1"/>
  <c r="Q66" i="1"/>
  <c r="AA66" i="1"/>
  <c r="N66" i="1"/>
  <c r="AA79" i="1"/>
  <c r="Q79" i="1"/>
  <c r="N79" i="1"/>
  <c r="Q95" i="1"/>
  <c r="N95" i="1"/>
  <c r="AA95" i="1"/>
  <c r="AA111" i="1"/>
  <c r="Q111" i="1"/>
  <c r="N111" i="1"/>
  <c r="Q74" i="1"/>
  <c r="AA74" i="1"/>
  <c r="N74" i="1"/>
  <c r="Q90" i="1"/>
  <c r="AA90" i="1"/>
  <c r="N90" i="1"/>
  <c r="Q106" i="1"/>
  <c r="N106" i="1"/>
  <c r="AA106" i="1"/>
  <c r="AA122" i="1"/>
  <c r="Q122" i="1"/>
  <c r="N122" i="1"/>
  <c r="K117" i="4"/>
  <c r="O113" i="1"/>
  <c r="Q42" i="1"/>
  <c r="N42" i="1"/>
  <c r="AA42" i="1"/>
  <c r="AA8" i="1"/>
  <c r="N8" i="1"/>
  <c r="Q8" i="1"/>
  <c r="Q50" i="1"/>
  <c r="N50" i="1"/>
  <c r="AA50" i="1"/>
  <c r="Q36" i="1"/>
  <c r="N36" i="1"/>
  <c r="AA36" i="1"/>
  <c r="Q21" i="1"/>
  <c r="N21" i="1"/>
  <c r="AA21" i="1"/>
  <c r="AA40" i="1"/>
  <c r="Q40" i="1"/>
  <c r="N40" i="1"/>
  <c r="N56" i="1"/>
  <c r="Q56" i="1"/>
  <c r="AA56" i="1"/>
  <c r="AA68" i="1"/>
  <c r="Q68" i="1"/>
  <c r="N68" i="1"/>
  <c r="N81" i="1"/>
  <c r="AA81" i="1"/>
  <c r="Q81" i="1"/>
  <c r="N97" i="1"/>
  <c r="AA97" i="1"/>
  <c r="Q97" i="1"/>
  <c r="AA113" i="1"/>
  <c r="Q113" i="1"/>
  <c r="N113" i="1"/>
  <c r="Q76" i="1"/>
  <c r="N76" i="1"/>
  <c r="AA76" i="1"/>
  <c r="AA92" i="1"/>
  <c r="Q92" i="1"/>
  <c r="N92" i="1"/>
  <c r="AA108" i="1"/>
  <c r="Q108" i="1"/>
  <c r="N108" i="1"/>
  <c r="Y7" i="1"/>
  <c r="G9" i="1"/>
  <c r="K110" i="4"/>
  <c r="O106" i="1"/>
  <c r="K69" i="4"/>
  <c r="O65" i="1"/>
  <c r="K126" i="4"/>
  <c r="O122" i="1"/>
  <c r="K87" i="4"/>
  <c r="O83" i="1"/>
  <c r="K15" i="4"/>
  <c r="O11" i="1"/>
  <c r="K97" i="4"/>
  <c r="O93" i="1"/>
  <c r="K74" i="4"/>
  <c r="O70" i="1"/>
  <c r="K10" i="4"/>
  <c r="O6" i="1"/>
  <c r="N37" i="1"/>
  <c r="AA37" i="1"/>
  <c r="Q37" i="1"/>
  <c r="N16" i="1"/>
  <c r="Q16" i="1"/>
  <c r="AA16" i="1"/>
  <c r="N61" i="1"/>
  <c r="AA61" i="1"/>
  <c r="Q61" i="1"/>
  <c r="AA11" i="1"/>
  <c r="Q11" i="1"/>
  <c r="N11" i="1"/>
  <c r="AA26" i="1"/>
  <c r="Q26" i="1"/>
  <c r="N26" i="1"/>
  <c r="AA60" i="1"/>
  <c r="Q60" i="1"/>
  <c r="N60" i="1"/>
  <c r="AA63" i="1"/>
  <c r="N63" i="1"/>
  <c r="Q63" i="1"/>
  <c r="AA67" i="1"/>
  <c r="Q67" i="1"/>
  <c r="N67" i="1"/>
  <c r="AA83" i="1"/>
  <c r="Q83" i="1"/>
  <c r="N83" i="1"/>
  <c r="Q99" i="1"/>
  <c r="N99" i="1"/>
  <c r="AA99" i="1"/>
  <c r="N115" i="1"/>
  <c r="AA115" i="1"/>
  <c r="Q115" i="1"/>
  <c r="Q78" i="1"/>
  <c r="N78" i="1"/>
  <c r="AA78" i="1"/>
  <c r="AA94" i="1"/>
  <c r="Q94" i="1"/>
  <c r="N94" i="1"/>
  <c r="N110" i="1"/>
  <c r="AA110" i="1"/>
  <c r="Q110" i="1"/>
  <c r="Q25" i="1"/>
  <c r="N25" i="1"/>
  <c r="AA25" i="1"/>
  <c r="N24" i="1"/>
  <c r="AA24" i="1"/>
  <c r="Q24" i="1"/>
  <c r="Y5" i="1"/>
  <c r="C9" i="1"/>
  <c r="Q34" i="1"/>
  <c r="AA34" i="1"/>
  <c r="N34" i="1"/>
  <c r="Q17" i="1"/>
  <c r="N17" i="1"/>
  <c r="AA17" i="1"/>
  <c r="Q9" i="1"/>
  <c r="AA9" i="1"/>
  <c r="N9" i="1"/>
  <c r="N12" i="1"/>
  <c r="AA12" i="1"/>
  <c r="Q12" i="1"/>
  <c r="AA35" i="1"/>
  <c r="N35" i="1"/>
  <c r="Q35" i="1"/>
  <c r="N65" i="1"/>
  <c r="AA65" i="1"/>
  <c r="Q65" i="1"/>
  <c r="AA31" i="1"/>
  <c r="Q31" i="1"/>
  <c r="N31" i="1"/>
  <c r="N69" i="1"/>
  <c r="Q69" i="1"/>
  <c r="AA69" i="1"/>
  <c r="N85" i="1"/>
  <c r="Q85" i="1"/>
  <c r="AA85" i="1"/>
  <c r="Q101" i="1"/>
  <c r="AA101" i="1"/>
  <c r="N101" i="1"/>
  <c r="AA117" i="1"/>
  <c r="Q117" i="1"/>
  <c r="N117" i="1"/>
  <c r="N80" i="1"/>
  <c r="AA80" i="1"/>
  <c r="Q80" i="1"/>
  <c r="AA96" i="1"/>
  <c r="Q96" i="1"/>
  <c r="N96" i="1"/>
  <c r="N112" i="1"/>
  <c r="Q112" i="1"/>
  <c r="AA112" i="1"/>
  <c r="K122" i="4"/>
  <c r="O118" i="1"/>
  <c r="K112" i="4"/>
  <c r="O108" i="1"/>
  <c r="AA23" i="1"/>
  <c r="Q23" i="1"/>
  <c r="N23" i="1"/>
  <c r="AA10" i="1"/>
  <c r="Q10" i="1"/>
  <c r="N10" i="1"/>
  <c r="AA14" i="1"/>
  <c r="Q14" i="1"/>
  <c r="N14" i="1"/>
  <c r="Q38" i="1"/>
  <c r="AA38" i="1"/>
  <c r="N38" i="1"/>
  <c r="AA59" i="1"/>
  <c r="N59" i="1"/>
  <c r="Q59" i="1"/>
  <c r="AA55" i="1"/>
  <c r="Q55" i="1"/>
  <c r="N55" i="1"/>
  <c r="AA71" i="1"/>
  <c r="N71" i="1"/>
  <c r="Q71" i="1"/>
  <c r="AA87" i="1"/>
  <c r="N87" i="1"/>
  <c r="Q87" i="1"/>
  <c r="AA103" i="1"/>
  <c r="Q103" i="1"/>
  <c r="N103" i="1"/>
  <c r="AA119" i="1"/>
  <c r="Q119" i="1"/>
  <c r="N119" i="1"/>
  <c r="Q82" i="1"/>
  <c r="N82" i="1"/>
  <c r="AA82" i="1"/>
  <c r="N98" i="1"/>
  <c r="Q98" i="1"/>
  <c r="AA98" i="1"/>
  <c r="Q114" i="1"/>
  <c r="N114" i="1"/>
  <c r="AA114" i="1"/>
  <c r="AA39" i="1"/>
  <c r="Q39" i="1"/>
  <c r="N39" i="1"/>
  <c r="K101" i="4"/>
  <c r="O97" i="1"/>
  <c r="Y4" i="1"/>
  <c r="AA5" i="1"/>
  <c r="N5" i="1"/>
  <c r="Q5" i="1"/>
  <c r="N41" i="1"/>
  <c r="AA41" i="1"/>
  <c r="Q41" i="1"/>
  <c r="AA15" i="1"/>
  <c r="Q15" i="1"/>
  <c r="N15" i="1"/>
  <c r="AA43" i="1"/>
  <c r="Q43" i="1"/>
  <c r="N43" i="1"/>
  <c r="N45" i="1"/>
  <c r="Q45" i="1"/>
  <c r="AA45" i="1"/>
  <c r="Q58" i="1"/>
  <c r="AA58" i="1"/>
  <c r="N58" i="1"/>
  <c r="N32" i="1"/>
  <c r="AA32" i="1"/>
  <c r="Q32" i="1"/>
  <c r="N73" i="1"/>
  <c r="AA73" i="1"/>
  <c r="Q73" i="1"/>
  <c r="N89" i="1"/>
  <c r="AA89" i="1"/>
  <c r="Q89" i="1"/>
  <c r="AA105" i="1"/>
  <c r="Q105" i="1"/>
  <c r="N105" i="1"/>
  <c r="N121" i="1"/>
  <c r="AA121" i="1"/>
  <c r="Q121" i="1"/>
  <c r="AA84" i="1"/>
  <c r="Q84" i="1"/>
  <c r="N84" i="1"/>
  <c r="AA100" i="1"/>
  <c r="Q100" i="1"/>
  <c r="N100" i="1"/>
  <c r="Q116" i="1"/>
  <c r="N116" i="1"/>
  <c r="AA116" i="1"/>
  <c r="A9" i="1"/>
  <c r="K106" i="4"/>
  <c r="O102" i="1"/>
  <c r="K96" i="4"/>
  <c r="O92" i="1"/>
  <c r="I30" i="4"/>
  <c r="K39" i="4"/>
  <c r="O35" i="1"/>
  <c r="I33" i="4"/>
  <c r="N44" i="1"/>
  <c r="AA44" i="1"/>
  <c r="Q44" i="1"/>
  <c r="AA22" i="1"/>
  <c r="Q22" i="1"/>
  <c r="N22" i="1"/>
  <c r="AA51" i="1"/>
  <c r="Q51" i="1"/>
  <c r="N51" i="1"/>
  <c r="AA47" i="1"/>
  <c r="N47" i="1"/>
  <c r="Q47" i="1"/>
  <c r="N64" i="1"/>
  <c r="AA64" i="1"/>
  <c r="Q64" i="1"/>
  <c r="Q54" i="1"/>
  <c r="AA54" i="1"/>
  <c r="N54" i="1"/>
  <c r="AA75" i="1"/>
  <c r="Q75" i="1"/>
  <c r="N75" i="1"/>
  <c r="AA91" i="1"/>
  <c r="N91" i="1"/>
  <c r="Q91" i="1"/>
  <c r="AA107" i="1"/>
  <c r="Q107" i="1"/>
  <c r="N107" i="1"/>
  <c r="Q70" i="1"/>
  <c r="AA70" i="1"/>
  <c r="N70" i="1"/>
  <c r="Q86" i="1"/>
  <c r="AA86" i="1"/>
  <c r="N86" i="1"/>
  <c r="AA102" i="1"/>
  <c r="Q102" i="1"/>
  <c r="N102" i="1"/>
  <c r="Q118" i="1"/>
  <c r="AA118" i="1"/>
  <c r="N118" i="1"/>
  <c r="Y6" i="1"/>
  <c r="E9" i="1"/>
  <c r="O45" i="1" l="1"/>
  <c r="K108" i="4"/>
  <c r="O30" i="1"/>
  <c r="K100" i="4"/>
  <c r="O82" i="1"/>
  <c r="K25" i="4"/>
  <c r="O61" i="1"/>
  <c r="O55" i="1"/>
  <c r="K44" i="4"/>
  <c r="O116" i="1"/>
  <c r="K58" i="4"/>
  <c r="K93" i="4"/>
  <c r="K22" i="4"/>
  <c r="K36" i="4"/>
  <c r="K24" i="4"/>
  <c r="O28" i="1"/>
  <c r="K40" i="4"/>
  <c r="O76" i="1"/>
  <c r="K68" i="4"/>
  <c r="K102" i="4"/>
  <c r="O77" i="1"/>
  <c r="K41" i="4"/>
  <c r="O87" i="1"/>
  <c r="K37" i="4"/>
  <c r="O88" i="1"/>
  <c r="O78" i="1"/>
  <c r="K18" i="4"/>
  <c r="O75" i="1"/>
  <c r="K119" i="4"/>
  <c r="O39" i="1"/>
  <c r="O52" i="1"/>
  <c r="O59" i="1"/>
  <c r="O71" i="1"/>
  <c r="K57" i="4"/>
  <c r="O63" i="1"/>
  <c r="O79" i="1"/>
  <c r="O81" i="1"/>
  <c r="O19" i="1"/>
  <c r="O90" i="1"/>
  <c r="K21" i="4"/>
  <c r="O69" i="1"/>
  <c r="O62" i="1"/>
  <c r="O100" i="1"/>
  <c r="K123" i="4"/>
  <c r="O111" i="1"/>
  <c r="O60" i="1"/>
  <c r="K77" i="4"/>
  <c r="O109" i="1"/>
  <c r="O12" i="1"/>
  <c r="O80" i="1"/>
  <c r="O9" i="1"/>
  <c r="O57" i="1"/>
  <c r="O66" i="1"/>
  <c r="L14" i="4"/>
  <c r="R10" i="1" s="1"/>
  <c r="O68" i="1"/>
  <c r="O105" i="1"/>
  <c r="K11" i="4"/>
  <c r="O85" i="1"/>
  <c r="K98" i="4"/>
  <c r="K31" i="4"/>
  <c r="O8" i="1"/>
  <c r="K114" i="4"/>
  <c r="O38" i="1"/>
  <c r="O51" i="1"/>
  <c r="L13" i="4"/>
  <c r="R9" i="1" s="1"/>
  <c r="O5" i="1"/>
  <c r="K50" i="4"/>
  <c r="L8" i="4"/>
  <c r="R4" i="1" s="1"/>
  <c r="O42" i="1"/>
  <c r="K27" i="4"/>
  <c r="O49" i="1"/>
  <c r="O4" i="1"/>
  <c r="O91" i="1"/>
  <c r="L11" i="4"/>
  <c r="R7" i="1" s="1"/>
  <c r="K8" i="4"/>
  <c r="M8" i="4" s="1"/>
  <c r="AB4" i="1" s="1"/>
  <c r="O107" i="1"/>
  <c r="O25" i="1"/>
  <c r="K78" i="4"/>
  <c r="L12" i="4"/>
  <c r="R8" i="1" s="1"/>
  <c r="O16" i="1"/>
  <c r="O121" i="1"/>
  <c r="L10" i="4"/>
  <c r="R6" i="1" s="1"/>
  <c r="K54" i="4"/>
  <c r="L9" i="4"/>
  <c r="R5" i="1" s="1"/>
  <c r="L15" i="4"/>
  <c r="R11" i="1" s="1"/>
  <c r="O41" i="1"/>
  <c r="K105" i="4"/>
  <c r="L16" i="4"/>
  <c r="R12" i="1" s="1"/>
  <c r="K71" i="4"/>
  <c r="O103" i="1"/>
  <c r="K62" i="4"/>
  <c r="K35" i="4"/>
  <c r="O24" i="1"/>
  <c r="O114" i="1"/>
  <c r="O48" i="1"/>
  <c r="O86" i="1"/>
  <c r="K48" i="4"/>
  <c r="M7" i="4"/>
  <c r="AB3" i="1" s="1"/>
  <c r="L125" i="4"/>
  <c r="R121" i="1" s="1"/>
  <c r="L54" i="4"/>
  <c r="R50" i="1" s="1"/>
  <c r="L56" i="4"/>
  <c r="R52" i="1" s="1"/>
  <c r="L89" i="4"/>
  <c r="R85" i="1" s="1"/>
  <c r="L43" i="4"/>
  <c r="R39" i="1" s="1"/>
  <c r="L75" i="4"/>
  <c r="R71" i="1" s="1"/>
  <c r="L27" i="4"/>
  <c r="R23" i="1" s="1"/>
  <c r="L112" i="4"/>
  <c r="R108" i="1" s="1"/>
  <c r="L124" i="4"/>
  <c r="R120" i="1" s="1"/>
  <c r="L85" i="4"/>
  <c r="R81" i="1" s="1"/>
  <c r="L111" i="4"/>
  <c r="R107" i="1" s="1"/>
  <c r="L122" i="4"/>
  <c r="R118" i="1" s="1"/>
  <c r="L18" i="4"/>
  <c r="R14" i="1" s="1"/>
  <c r="K17" i="4"/>
  <c r="O13" i="1"/>
  <c r="L80" i="4"/>
  <c r="R76" i="1" s="1"/>
  <c r="L119" i="4"/>
  <c r="R115" i="1" s="1"/>
  <c r="L86" i="4"/>
  <c r="R82" i="1" s="1"/>
  <c r="L81" i="4"/>
  <c r="R77" i="1" s="1"/>
  <c r="L121" i="4"/>
  <c r="R117" i="1" s="1"/>
  <c r="L25" i="4"/>
  <c r="R21" i="1" s="1"/>
  <c r="L107" i="4"/>
  <c r="R103" i="1" s="1"/>
  <c r="L100" i="4"/>
  <c r="R96" i="1" s="1"/>
  <c r="L82" i="4"/>
  <c r="R78" i="1" s="1"/>
  <c r="L87" i="4"/>
  <c r="R83" i="1" s="1"/>
  <c r="L117" i="4"/>
  <c r="R113" i="1" s="1"/>
  <c r="L32" i="4"/>
  <c r="R28" i="1" s="1"/>
  <c r="L19" i="4"/>
  <c r="R15" i="1" s="1"/>
  <c r="L36" i="4"/>
  <c r="R32" i="1" s="1"/>
  <c r="L53" i="4"/>
  <c r="R49" i="1" s="1"/>
  <c r="L113" i="4"/>
  <c r="R109" i="1" s="1"/>
  <c r="L41" i="4"/>
  <c r="R37" i="1" s="1"/>
  <c r="L118" i="4"/>
  <c r="R114" i="1" s="1"/>
  <c r="L23" i="4"/>
  <c r="R19" i="1" s="1"/>
  <c r="L104" i="4"/>
  <c r="R100" i="1" s="1"/>
  <c r="L66" i="4"/>
  <c r="R62" i="1" s="1"/>
  <c r="L78" i="4"/>
  <c r="R74" i="1" s="1"/>
  <c r="L69" i="4"/>
  <c r="R65" i="1" s="1"/>
  <c r="L114" i="4"/>
  <c r="R110" i="1" s="1"/>
  <c r="L30" i="4"/>
  <c r="R26" i="1" s="1"/>
  <c r="C5" i="1"/>
  <c r="G5" i="1" s="1"/>
  <c r="L50" i="4"/>
  <c r="R46" i="1" s="1"/>
  <c r="L52" i="4"/>
  <c r="R48" i="1" s="1"/>
  <c r="K33" i="4"/>
  <c r="O29" i="1"/>
  <c r="L17" i="4"/>
  <c r="R13" i="1" s="1"/>
  <c r="L96" i="4"/>
  <c r="R92" i="1" s="1"/>
  <c r="L72" i="4"/>
  <c r="R68" i="1" s="1"/>
  <c r="L99" i="4"/>
  <c r="R95" i="1" s="1"/>
  <c r="L59" i="4"/>
  <c r="R55" i="1" s="1"/>
  <c r="L74" i="4"/>
  <c r="R70" i="1" s="1"/>
  <c r="L65" i="4"/>
  <c r="R61" i="1" s="1"/>
  <c r="L109" i="4"/>
  <c r="R105" i="1" s="1"/>
  <c r="L28" i="4"/>
  <c r="R24" i="1" s="1"/>
  <c r="L48" i="4"/>
  <c r="R44" i="1" s="1"/>
  <c r="L49" i="4"/>
  <c r="R45" i="1" s="1"/>
  <c r="L108" i="4"/>
  <c r="R104" i="1" s="1"/>
  <c r="L51" i="4"/>
  <c r="R47" i="1" s="1"/>
  <c r="L76" i="4"/>
  <c r="R72" i="1" s="1"/>
  <c r="L67" i="4"/>
  <c r="R63" i="1" s="1"/>
  <c r="L70" i="4"/>
  <c r="R66" i="1" s="1"/>
  <c r="L103" i="4"/>
  <c r="R99" i="1" s="1"/>
  <c r="L68" i="4"/>
  <c r="R64" i="1" s="1"/>
  <c r="L57" i="4"/>
  <c r="R53" i="1" s="1"/>
  <c r="L106" i="4"/>
  <c r="R102" i="1" s="1"/>
  <c r="L26" i="4"/>
  <c r="R22" i="1" s="1"/>
  <c r="L45" i="4"/>
  <c r="R41" i="1" s="1"/>
  <c r="L46" i="4"/>
  <c r="R42" i="1" s="1"/>
  <c r="L47" i="4"/>
  <c r="R43" i="1" s="1"/>
  <c r="L84" i="4"/>
  <c r="R80" i="1" s="1"/>
  <c r="L105" i="4"/>
  <c r="R101" i="1" s="1"/>
  <c r="L110" i="4"/>
  <c r="R106" i="1" s="1"/>
  <c r="L60" i="4"/>
  <c r="R56" i="1" s="1"/>
  <c r="L98" i="4"/>
  <c r="R94" i="1" s="1"/>
  <c r="L35" i="4"/>
  <c r="R31" i="1" s="1"/>
  <c r="L101" i="4"/>
  <c r="R97" i="1" s="1"/>
  <c r="L24" i="4"/>
  <c r="R20" i="1" s="1"/>
  <c r="L37" i="4"/>
  <c r="R33" i="1" s="1"/>
  <c r="L44" i="4"/>
  <c r="R40" i="1" s="1"/>
  <c r="L95" i="4"/>
  <c r="R91" i="1" s="1"/>
  <c r="L77" i="4"/>
  <c r="R73" i="1" s="1"/>
  <c r="L39" i="4"/>
  <c r="R35" i="1" s="1"/>
  <c r="L102" i="4"/>
  <c r="R98" i="1" s="1"/>
  <c r="L116" i="4"/>
  <c r="R112" i="1" s="1"/>
  <c r="L88" i="4"/>
  <c r="R84" i="1" s="1"/>
  <c r="L61" i="4"/>
  <c r="R57" i="1" s="1"/>
  <c r="L91" i="4"/>
  <c r="R87" i="1" s="1"/>
  <c r="K30" i="4"/>
  <c r="O26" i="1"/>
  <c r="L20" i="4"/>
  <c r="R16" i="1" s="1"/>
  <c r="L126" i="4"/>
  <c r="R122" i="1" s="1"/>
  <c r="L22" i="4"/>
  <c r="R18" i="1" s="1"/>
  <c r="L42" i="4"/>
  <c r="R38" i="1" s="1"/>
  <c r="L55" i="4"/>
  <c r="R51" i="1" s="1"/>
  <c r="L71" i="4"/>
  <c r="R67" i="1" s="1"/>
  <c r="L34" i="4"/>
  <c r="R30" i="1" s="1"/>
  <c r="L97" i="4"/>
  <c r="R93" i="1" s="1"/>
  <c r="L92" i="4"/>
  <c r="R88" i="1" s="1"/>
  <c r="L83" i="4"/>
  <c r="R79" i="1" s="1"/>
  <c r="L31" i="4"/>
  <c r="R27" i="1" s="1"/>
  <c r="L120" i="4"/>
  <c r="R116" i="1" s="1"/>
  <c r="L33" i="4"/>
  <c r="R29" i="1" s="1"/>
  <c r="L123" i="4"/>
  <c r="R119" i="1" s="1"/>
  <c r="L38" i="4"/>
  <c r="R34" i="1" s="1"/>
  <c r="L21" i="4"/>
  <c r="R17" i="1" s="1"/>
  <c r="L40" i="4"/>
  <c r="R36" i="1" s="1"/>
  <c r="L63" i="4"/>
  <c r="R59" i="1" s="1"/>
  <c r="L64" i="4"/>
  <c r="R60" i="1" s="1"/>
  <c r="L94" i="4"/>
  <c r="R90" i="1" s="1"/>
  <c r="L62" i="4"/>
  <c r="R58" i="1" s="1"/>
  <c r="L79" i="4"/>
  <c r="R75" i="1" s="1"/>
  <c r="L29" i="4"/>
  <c r="R25" i="1" s="1"/>
  <c r="L115" i="4"/>
  <c r="R111" i="1" s="1"/>
  <c r="L58" i="4"/>
  <c r="R54" i="1" s="1"/>
  <c r="L90" i="4"/>
  <c r="R86" i="1" s="1"/>
  <c r="L73" i="4"/>
  <c r="R69" i="1" s="1"/>
  <c r="L93" i="4"/>
  <c r="R89" i="1" s="1"/>
  <c r="M14" i="4" l="1"/>
  <c r="AB10" i="1" s="1"/>
  <c r="M16" i="4"/>
  <c r="AB12" i="1" s="1"/>
  <c r="M15" i="4"/>
  <c r="AB11" i="1" s="1"/>
  <c r="M13" i="4"/>
  <c r="AB9" i="1" s="1"/>
  <c r="M27" i="4"/>
  <c r="AB23" i="1" s="1"/>
  <c r="M11" i="4"/>
  <c r="AB7" i="1" s="1"/>
  <c r="M10" i="4"/>
  <c r="AB6" i="1" s="1"/>
  <c r="M12" i="4"/>
  <c r="AB8" i="1" s="1"/>
  <c r="M9" i="4"/>
  <c r="AB5" i="1" s="1"/>
  <c r="M126" i="4"/>
  <c r="AB122" i="1" s="1"/>
  <c r="M110" i="4"/>
  <c r="AB106" i="1" s="1"/>
  <c r="M21" i="4"/>
  <c r="AB17" i="1" s="1"/>
  <c r="M78" i="4"/>
  <c r="AB74" i="1" s="1"/>
  <c r="M23" i="4"/>
  <c r="AB19" i="1" s="1"/>
  <c r="M28" i="4"/>
  <c r="AB24" i="1" s="1"/>
  <c r="M19" i="4"/>
  <c r="AB15" i="1" s="1"/>
  <c r="M83" i="4"/>
  <c r="AB79" i="1" s="1"/>
  <c r="M22" i="4"/>
  <c r="AB18" i="1" s="1"/>
  <c r="M24" i="4"/>
  <c r="AB20" i="1" s="1"/>
  <c r="M26" i="4"/>
  <c r="AB22" i="1" s="1"/>
  <c r="M17" i="4"/>
  <c r="AB13" i="1" s="1"/>
  <c r="M40" i="4"/>
  <c r="AB36" i="1" s="1"/>
  <c r="M108" i="4"/>
  <c r="AB104" i="1" s="1"/>
  <c r="M20" i="4"/>
  <c r="AB16" i="1" s="1"/>
  <c r="M94" i="4"/>
  <c r="AB90" i="1" s="1"/>
  <c r="M18" i="4"/>
  <c r="AB14" i="1" s="1"/>
  <c r="M124" i="4"/>
  <c r="AB120" i="1" s="1"/>
  <c r="M66" i="4"/>
  <c r="AB62" i="1" s="1"/>
  <c r="M97" i="4"/>
  <c r="AB93" i="1" s="1"/>
  <c r="M34" i="4"/>
  <c r="AB30" i="1" s="1"/>
  <c r="M48" i="4"/>
  <c r="AB44" i="1" s="1"/>
  <c r="M57" i="4"/>
  <c r="AB53" i="1" s="1"/>
  <c r="M25" i="4"/>
  <c r="AB21" i="1" s="1"/>
  <c r="M41" i="4"/>
  <c r="AB37" i="1" s="1"/>
  <c r="M122" i="4"/>
  <c r="AB118" i="1" s="1"/>
  <c r="M46" i="4"/>
  <c r="AB42" i="1" s="1"/>
  <c r="M93" i="4"/>
  <c r="AB89" i="1" s="1"/>
  <c r="M118" i="4"/>
  <c r="AB114" i="1" s="1"/>
  <c r="M42" i="4"/>
  <c r="AB38" i="1" s="1"/>
  <c r="M100" i="4"/>
  <c r="AB96" i="1" s="1"/>
  <c r="M63" i="4"/>
  <c r="AB59" i="1" s="1"/>
  <c r="M103" i="4"/>
  <c r="AB99" i="1" s="1"/>
  <c r="M112" i="4"/>
  <c r="AB108" i="1" s="1"/>
  <c r="M36" i="4"/>
  <c r="AB32" i="1" s="1"/>
  <c r="M70" i="4"/>
  <c r="AB66" i="1" s="1"/>
  <c r="M106" i="4"/>
  <c r="AB102" i="1" s="1"/>
  <c r="M69" i="4"/>
  <c r="AB65" i="1" s="1"/>
  <c r="M77" i="4"/>
  <c r="AB73" i="1" s="1"/>
  <c r="M102" i="4"/>
  <c r="AB98" i="1" s="1"/>
  <c r="M65" i="4"/>
  <c r="AB61" i="1" s="1"/>
  <c r="M84" i="4"/>
  <c r="AB80" i="1" s="1"/>
  <c r="M47" i="4"/>
  <c r="AB43" i="1" s="1"/>
  <c r="M87" i="4"/>
  <c r="AB83" i="1" s="1"/>
  <c r="M96" i="4"/>
  <c r="AB92" i="1" s="1"/>
  <c r="M59" i="4"/>
  <c r="AB55" i="1" s="1"/>
  <c r="M50" i="4"/>
  <c r="AB46" i="1" s="1"/>
  <c r="M92" i="4"/>
  <c r="AB88" i="1" s="1"/>
  <c r="M55" i="4"/>
  <c r="AB51" i="1" s="1"/>
  <c r="M90" i="4"/>
  <c r="AB86" i="1" s="1"/>
  <c r="M53" i="4"/>
  <c r="AB49" i="1" s="1"/>
  <c r="M60" i="4"/>
  <c r="AB56" i="1" s="1"/>
  <c r="M86" i="4"/>
  <c r="AB82" i="1" s="1"/>
  <c r="M49" i="4"/>
  <c r="AB45" i="1" s="1"/>
  <c r="M121" i="4"/>
  <c r="AB117" i="1" s="1"/>
  <c r="M72" i="4"/>
  <c r="AB68" i="1" s="1"/>
  <c r="M71" i="4"/>
  <c r="AB67" i="1" s="1"/>
  <c r="M80" i="4"/>
  <c r="AB76" i="1" s="1"/>
  <c r="M43" i="4"/>
  <c r="AB39" i="1" s="1"/>
  <c r="M76" i="4"/>
  <c r="AB72" i="1" s="1"/>
  <c r="M39" i="4"/>
  <c r="AB35" i="1" s="1"/>
  <c r="M74" i="4"/>
  <c r="AB70" i="1" s="1"/>
  <c r="M37" i="4"/>
  <c r="AB33" i="1" s="1"/>
  <c r="M120" i="4"/>
  <c r="AB116" i="1" s="1"/>
  <c r="M44" i="4"/>
  <c r="AB40" i="1" s="1"/>
  <c r="M123" i="4"/>
  <c r="AB119" i="1" s="1"/>
  <c r="M33" i="4"/>
  <c r="AB29" i="1" s="1"/>
  <c r="M105" i="4"/>
  <c r="AB101" i="1" s="1"/>
  <c r="M54" i="4"/>
  <c r="AB50" i="1" s="1"/>
  <c r="M117" i="4"/>
  <c r="AB113" i="1" s="1"/>
  <c r="M29" i="4"/>
  <c r="AB25" i="1" s="1"/>
  <c r="M113" i="4"/>
  <c r="AB109" i="1" s="1"/>
  <c r="M111" i="4"/>
  <c r="AB107" i="1" s="1"/>
  <c r="M104" i="4"/>
  <c r="AB100" i="1" s="1"/>
  <c r="M67" i="4"/>
  <c r="AB63" i="1" s="1"/>
  <c r="M107" i="4"/>
  <c r="AB103" i="1" s="1"/>
  <c r="M89" i="4"/>
  <c r="AB85" i="1" s="1"/>
  <c r="M114" i="4"/>
  <c r="AB110" i="1" s="1"/>
  <c r="M38" i="4"/>
  <c r="AB34" i="1" s="1"/>
  <c r="M101" i="4"/>
  <c r="AB97" i="1" s="1"/>
  <c r="M95" i="4"/>
  <c r="AB91" i="1" s="1"/>
  <c r="M88" i="4"/>
  <c r="AB84" i="1" s="1"/>
  <c r="M51" i="4"/>
  <c r="AB47" i="1" s="1"/>
  <c r="M91" i="4"/>
  <c r="AB87" i="1" s="1"/>
  <c r="M73" i="4"/>
  <c r="AB69" i="1" s="1"/>
  <c r="E5" i="1"/>
  <c r="M98" i="4"/>
  <c r="AB94" i="1" s="1"/>
  <c r="M61" i="4"/>
  <c r="AB57" i="1" s="1"/>
  <c r="M85" i="4"/>
  <c r="AB81" i="1" s="1"/>
  <c r="M30" i="4"/>
  <c r="AB26" i="1" s="1"/>
  <c r="M81" i="4"/>
  <c r="AB77" i="1" s="1"/>
  <c r="M79" i="4"/>
  <c r="AB75" i="1" s="1"/>
  <c r="M125" i="4"/>
  <c r="AB121" i="1" s="1"/>
  <c r="M35" i="4"/>
  <c r="AB31" i="1" s="1"/>
  <c r="M75" i="4"/>
  <c r="AB71" i="1" s="1"/>
  <c r="M56" i="4"/>
  <c r="AB52" i="1" s="1"/>
  <c r="M82" i="4"/>
  <c r="AB78" i="1" s="1"/>
  <c r="M45" i="4"/>
  <c r="AB41" i="1" s="1"/>
  <c r="M68" i="4"/>
  <c r="AB64" i="1" s="1"/>
  <c r="M32" i="4"/>
  <c r="AB28" i="1" s="1"/>
  <c r="M115" i="4"/>
  <c r="AB111" i="1" s="1"/>
  <c r="M99" i="4"/>
  <c r="AB95" i="1" s="1"/>
  <c r="M64" i="4"/>
  <c r="AB60" i="1" s="1"/>
  <c r="M62" i="4"/>
  <c r="AB58" i="1" s="1"/>
  <c r="M109" i="4"/>
  <c r="AB105" i="1" s="1"/>
  <c r="M58" i="4"/>
  <c r="AB54" i="1" s="1"/>
  <c r="M116" i="4"/>
  <c r="AB112" i="1" s="1"/>
  <c r="M119" i="4"/>
  <c r="AB115" i="1" s="1"/>
  <c r="M31" i="4"/>
  <c r="AB27" i="1" s="1"/>
  <c r="M52" i="4"/>
  <c r="AB48" i="1" s="1"/>
</calcChain>
</file>

<file path=xl/sharedStrings.xml><?xml version="1.0" encoding="utf-8"?>
<sst xmlns="http://schemas.openxmlformats.org/spreadsheetml/2006/main" count="198" uniqueCount="175">
  <si>
    <t>Used Car in Sweden – 10-Year Total Cost of Ownership Dashboard</t>
  </si>
  <si>
    <t>Update yellow cells on the Inputs and Maintenance sheets. All values below update automatically.</t>
  </si>
  <si>
    <t>Month</t>
  </si>
  <si>
    <t>Monthly operating cost</t>
  </si>
  <si>
    <t>Cumulative nominal cost</t>
  </si>
  <si>
    <t>Category</t>
  </si>
  <si>
    <t>Cost</t>
  </si>
  <si>
    <t>Cumulative discounted cost</t>
  </si>
  <si>
    <t>Purchase price</t>
  </si>
  <si>
    <t>Car market price</t>
  </si>
  <si>
    <t>Total undiscounted 10-year cost</t>
  </si>
  <si>
    <t>Total discounted cost / NPV</t>
  </si>
  <si>
    <t>Average monthly cost</t>
  </si>
  <si>
    <t>Key assumptions</t>
  </si>
  <si>
    <t>Fuel</t>
  </si>
  <si>
    <t>Expected monthly mileage</t>
  </si>
  <si>
    <t>km/month</t>
  </si>
  <si>
    <t>Insurance</t>
  </si>
  <si>
    <t>Annual inflation rate</t>
  </si>
  <si>
    <t>Tax</t>
  </si>
  <si>
    <t>Annual discount rate</t>
  </si>
  <si>
    <t>Maintenance</t>
  </si>
  <si>
    <t>Total fuel cost</t>
  </si>
  <si>
    <t>Total insurance cost</t>
  </si>
  <si>
    <t>Total tax cost</t>
  </si>
  <si>
    <t>Total maintenance cost</t>
  </si>
  <si>
    <t>Fuel type</t>
  </si>
  <si>
    <t>Fuel price per litre</t>
  </si>
  <si>
    <t>SEK/litre</t>
  </si>
  <si>
    <t>Consumption</t>
  </si>
  <si>
    <t>L/100 km</t>
  </si>
  <si>
    <t>Used Car TCO Model – Inputs &amp; Assumptions</t>
  </si>
  <si>
    <t>Petrol</t>
  </si>
  <si>
    <t>Assumption</t>
  </si>
  <si>
    <t>Value</t>
  </si>
  <si>
    <t>Units / note</t>
  </si>
  <si>
    <t>Source / guidance</t>
  </si>
  <si>
    <t>Fuel default source</t>
  </si>
  <si>
    <t>URL</t>
  </si>
  <si>
    <t>Diesel</t>
  </si>
  <si>
    <t>SEK</t>
  </si>
  <si>
    <t>Editable purchase price / market value of the used car</t>
  </si>
  <si>
    <t>Sweden gasoline price</t>
  </si>
  <si>
    <t>https://www.globalpetrolprices.com/Sweden/gasoline_prices/</t>
  </si>
  <si>
    <t>Other / user-defined</t>
  </si>
  <si>
    <t>Model start date</t>
  </si>
  <si>
    <t>Month 0 / purchase date</t>
  </si>
  <si>
    <t>Formula uses current month as model start</t>
  </si>
  <si>
    <t>Sweden diesel price</t>
  </si>
  <si>
    <t>https://www.globalpetrolprices.com/Sweden/diesel_prices/</t>
  </si>
  <si>
    <t>Expected monthly mileage (user input)</t>
  </si>
  <si>
    <t>Leave blank to use 1,000 km/month</t>
  </si>
  <si>
    <t>Input may be blank</t>
  </si>
  <si>
    <t>Price update date</t>
  </si>
  <si>
    <t>2026-04-13</t>
  </si>
  <si>
    <t>Effective monthly mileage</t>
  </si>
  <si>
    <t>Formula defaults to 1,000 km if user input is blank</t>
  </si>
  <si>
    <t>Effective annual mileage</t>
  </si>
  <si>
    <t>km/year</t>
  </si>
  <si>
    <t>Formula = effective monthly mileage × 12</t>
  </si>
  <si>
    <t>Annual tax payment</t>
  </si>
  <si>
    <t>SEK/year</t>
  </si>
  <si>
    <t>Editable base annual vehicle tax</t>
  </si>
  <si>
    <t>Monthly insurance payment</t>
  </si>
  <si>
    <t>SEK/month</t>
  </si>
  <si>
    <t>Editable base monthly insurance</t>
  </si>
  <si>
    <t>Dropdown</t>
  </si>
  <si>
    <t>Petrol / Diesel / Other / user-defined</t>
  </si>
  <si>
    <t>Consumption rate</t>
  </si>
  <si>
    <t>litres / 100 km</t>
  </si>
  <si>
    <t>Editable fuel consumption</t>
  </si>
  <si>
    <t>Fuel price per litre (linked)</t>
  </si>
  <si>
    <t>Formula linked to selected fuel type</t>
  </si>
  <si>
    <t>Petrol default price</t>
  </si>
  <si>
    <t>Current Sweden gasoline price, updated 2026-04-13</t>
  </si>
  <si>
    <t>Diesel default price</t>
  </si>
  <si>
    <t>Current Sweden diesel price, updated 2026-04-13</t>
  </si>
  <si>
    <t>Other / user-defined fuel price</t>
  </si>
  <si>
    <t>Editable placeholder for other fuel types</t>
  </si>
  <si>
    <t>Default 3%</t>
  </si>
  <si>
    <t>Applied with monthly compounding</t>
  </si>
  <si>
    <t>Default 5%</t>
  </si>
  <si>
    <t>Opportunity cost of capital; monthly discounting</t>
  </si>
  <si>
    <t>Monthly inflation rate (effective)</t>
  </si>
  <si>
    <t>Formula</t>
  </si>
  <si>
    <t>Monthly effective inflation formula: (1+annual inflation)^(1/12)-1</t>
  </si>
  <si>
    <t>Monthly discount rate (effective)</t>
  </si>
  <si>
    <t>Monthly effective discount formula: (1+annual discount)^(1/12)-1</t>
  </si>
  <si>
    <t>Time horizon</t>
  </si>
  <si>
    <t>Months (fixed)</t>
  </si>
  <si>
    <t>10 years × 12 months</t>
  </si>
  <si>
    <t>Maintenance Planner – editable task list (months override km)</t>
  </si>
  <si>
    <t>How to use</t>
  </si>
  <si>
    <t>Enter the maintenance task, base cost, and either months until first due or km until first due. If both are entered, months is used. Repeat interval can also be entered in months or km. The Cashflow sheet automatically schedules recurring events over the 120-month horizon and inflates each cost to the event month.</t>
  </si>
  <si>
    <t>Note</t>
  </si>
  <si>
    <t>Default rows below are editable. Blank rows are included so you can add more tasks without breaking the model. The derived columns on the right convert km-based inputs into months using the effective monthly mileage from the Inputs sheet.</t>
  </si>
  <si>
    <t>Maintenance task</t>
  </si>
  <si>
    <t>Task category</t>
  </si>
  <si>
    <t>Estimated cost</t>
  </si>
  <si>
    <t>First due in months</t>
  </si>
  <si>
    <t>First due in km</t>
  </si>
  <si>
    <t>Repeat every X months</t>
  </si>
  <si>
    <t>Repeat every X km</t>
  </si>
  <si>
    <t>Notes</t>
  </si>
  <si>
    <t>Derived 1st month</t>
  </si>
  <si>
    <t>Derived repeat (months)</t>
  </si>
  <si>
    <t>Timing belt change</t>
  </si>
  <si>
    <t>Major service</t>
  </si>
  <si>
    <t>Long interval; depends on engine/service history</t>
  </si>
  <si>
    <t>Brake pads / brakes</t>
  </si>
  <si>
    <t>Safety</t>
  </si>
  <si>
    <t>Pads/discs; highly usage dependent</t>
  </si>
  <si>
    <t>Oil change</t>
  </si>
  <si>
    <t>Routine service</t>
  </si>
  <si>
    <t>Conventional used-car assumption</t>
  </si>
  <si>
    <t>Front tyres replacement</t>
  </si>
  <si>
    <t>Tyres</t>
  </si>
  <si>
    <t>Set of front tyres</t>
  </si>
  <si>
    <t>Rear tyres replacement</t>
  </si>
  <si>
    <t>Set of rear tyres</t>
  </si>
  <si>
    <t>Car wash / detailing</t>
  </si>
  <si>
    <t>Care</t>
  </si>
  <si>
    <t>Regular wash/detailing reserve</t>
  </si>
  <si>
    <t>Battery replacement</t>
  </si>
  <si>
    <t>Wear item</t>
  </si>
  <si>
    <t>Battery life varies with climate/use</t>
  </si>
  <si>
    <t>Inspection / service</t>
  </si>
  <si>
    <t>Inspection</t>
  </si>
  <si>
    <t>Annual inspection / service</t>
  </si>
  <si>
    <t>Wiper blades</t>
  </si>
  <si>
    <t>Annual replacement</t>
  </si>
  <si>
    <t>Air filter / cabin filter</t>
  </si>
  <si>
    <t>Common service item</t>
  </si>
  <si>
    <t>Unexpected repairs reserve</t>
  </si>
  <si>
    <t>Reserve</t>
  </si>
  <si>
    <t>Reserve for miscellaneous repairs</t>
  </si>
  <si>
    <t>Monthly Cashflow Schedule – 10-year used car ownership model</t>
  </si>
  <si>
    <t>Sign convention</t>
  </si>
  <si>
    <t>All ownership costs are shown as negative cashflows. The cumulative cost columns convert these to positive running costs for readability.</t>
  </si>
  <si>
    <t>Logic</t>
  </si>
  <si>
    <t>Fuel, insurance, tax, and maintenance inflate monthly using the effective monthly inflation rate derived from the annual assumption. Discount factors use the effective monthly discount rate derived from the annual opportunity cost of capital.</t>
  </si>
  <si>
    <t>Date</t>
  </si>
  <si>
    <t>Monthly mileage</t>
  </si>
  <si>
    <t>Fuel cost</t>
  </si>
  <si>
    <t>Insurance cost</t>
  </si>
  <si>
    <t>Annual tax</t>
  </si>
  <si>
    <t>Maintenance cost</t>
  </si>
  <si>
    <t>Total nominal cashflow</t>
  </si>
  <si>
    <t>Discount factor</t>
  </si>
  <si>
    <t>Present value of cashflow</t>
  </si>
  <si>
    <t>Help &amp; research prompt</t>
  </si>
  <si>
    <t>1. How to use this workbook</t>
  </si>
  <si>
    <t>Step 1</t>
  </si>
  <si>
    <t>Go to the Inputs sheet and update the yellow cells: car price, tax, insurance, fuel type, fuel consumption, fuel price, inflation, and discount rate.</t>
  </si>
  <si>
    <t>Step 2</t>
  </si>
  <si>
    <t>If you are not sure about mileage, leave the monthly mileage input blank. The model will automatically use 1,000 km/month (12,000 km/year).</t>
  </si>
  <si>
    <t>Step 3</t>
  </si>
  <si>
    <t>Review the Maintenance sheet. Edit the default task list, base costs, and timing. You can enter either months or km for the first due date and repeat interval. If both are entered, months takes priority.</t>
  </si>
  <si>
    <t>Step 4</t>
  </si>
  <si>
    <t>Open the Cashflow sheet to review the full 120-month schedule. Month 0 contains the purchase price. All other cost items inflate monthly and are discounted back to present value.</t>
  </si>
  <si>
    <t>Step 5</t>
  </si>
  <si>
    <t>Use the Dashboard sheet for summary metrics and charts. The discounted total cost is the present-value cost of owning the car over the full holding period.</t>
  </si>
  <si>
    <t>2. Practical notes</t>
  </si>
  <si>
    <t>Tax timing</t>
  </si>
  <si>
    <t>This template applies annual vehicle tax at months 12, 24, ..., 120. If your timing differs, you can edit the Annual tax formula on the Cashflow sheet.</t>
  </si>
  <si>
    <t>Fuel defaults</t>
  </si>
  <si>
    <t>Default petrol and diesel prices were populated from current Sweden price sources and remain fully editable. If you prefer local pump prices, overwrite the default price cells on Inputs.</t>
  </si>
  <si>
    <t>Maintenance inflation</t>
  </si>
  <si>
    <t>Maintenance costs are entered in today's SEK and inflated to the month when each event occurs.</t>
  </si>
  <si>
    <t>3. Suggested prompt to research Sweden maintenance costs</t>
  </si>
  <si>
    <t>Please estimate current maintenance and repair costs in Sweden for this used car:
[make, model, year, engine, fuel type, mileage, transmission, driven wheels].
I want realistic independent-workshop or common market estimates in SEK, with price ranges where possible. Please provide estimated costs for:
• oil change
• timing belt / timing chain service (if relevant)
• front brake pads / discs
• rear brake pads / discs
• front tyres
• rear tyres
• battery replacement
• annual inspection / routine service
• wiper blades
• air filter / cabin filter
• common unexpected repairs for this model in Sweden
For each item, please also note how often it typically occurs, either in months/years or km, and mention any Sweden-specific factors such as winter tyres, corrosion, road salt, inspection rules, or typical labour rates. If possible, distinguish between low, mid, and high cost scenarios and flag items that are model-specific or engine-specific.</t>
  </si>
  <si>
    <t>Fuel price sources used for default inputs</t>
  </si>
  <si>
    <t>Gasoline</t>
  </si>
  <si>
    <t>Excel note</t>
  </si>
  <si>
    <t>Excel does not allow '/' in sheet names, so this tab is named 'Help - Prompt' instead of 'Help /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</si>
</sst>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 &quot;SEK&quot;"/>
    <numFmt numFmtId="165" formatCode="yyyy\-mm\-dd"/>
    <numFmt numFmtId="166" formatCode="#,##0\ &quot;km&quot;"/>
    <numFmt numFmtId="167" formatCode="0.0\ &quot;L/100km&quot;"/>
    <numFmt numFmtId="168" formatCode="0.0%"/>
    <numFmt numFmtId="169" formatCode="0\ &quot;months&quot;"/>
    <numFmt numFmtId="170" formatCode="mmm\ yyyy"/>
    <numFmt numFmtId="171" formatCode="0.0000"/>
  </numFmts>
  <fonts count="12">
    <font>
      <sz val="11"/>
      <name val="Carlito"/>
    </font>
    <font>
      <b/>
      <sz val="16"/>
      <color rgb="FFFFFFFF"/>
      <name val="Calibri"/>
      <family val="2"/>
      <scheme val="minor"/>
    </font>
    <font>
      <sz val="11"/>
      <name val="Calibri"/>
      <family val="2"/>
      <scheme val="minor"/>
    </font>
    <font>
      <b/>
      <sz val="11"/>
      <color rgb="FF1F2937"/>
      <name val="Calibri"/>
      <family val="2"/>
      <scheme val="minor"/>
    </font>
    <font>
      <b/>
      <sz val="10"/>
      <color rgb="FFFFFFFF"/>
      <name val="Calibri"/>
      <family val="2"/>
      <scheme val="minor"/>
    </font>
    <font>
      <b/>
      <sz val="11"/>
      <color rgb="FFFFFFFF"/>
      <name val="Calibri"/>
      <family val="2"/>
      <scheme val="minor"/>
    </font>
    <font>
      <b/>
      <sz val="14"/>
      <color rgb="FF1F2937"/>
      <name val="Calibri"/>
      <family val="2"/>
      <scheme val="minor"/>
    </font>
    <font>
      <b/>
      <sz val="14"/>
      <color rgb="FFFFFFFF"/>
      <name val="Calibri"/>
      <family val="2"/>
      <scheme val="minor"/>
    </font>
    <font>
      <sz val="11"/>
      <color rgb="FF666666"/>
      <name val="Calibri"/>
      <family val="2"/>
      <scheme val="minor"/>
    </font>
    <font>
      <sz val="11"/>
      <color rgb="FF1F2937"/>
      <name val="Calibri"/>
      <family val="2"/>
      <scheme val="minor"/>
    </font>
    <font>
      <i/>
      <sz val="11"/>
      <color rgb="FF555555"/>
      <name val="Calibri"/>
      <family val="2"/>
      <scheme val="minor"/>
    </font>
    <font>
      <sz val="11"/>
      <color rgb="FFB91C1C"/>
      <name val="Calibri"/>
      <family val="2"/>
      <scheme val="minor"/>
    </font>
  </fonts>
  <fills count="11">
    <fill>
      <patternFill patternType="none"/>
    </fill>
    <fill>
      <patternFill patternType="gray125"/>
    </fill>
    <fill>
      <patternFill patternType="solid">
        <fgColor rgb="FF16324F"/>
      </patternFill>
    </fill>
    <fill>
      <patternFill patternType="solid">
        <fgColor rgb="FF2F6690"/>
      </patternFill>
    </fill>
    <fill>
      <patternFill patternType="solid">
        <fgColor rgb="FF0F766E"/>
      </patternFill>
    </fill>
    <fill>
      <patternFill patternType="solid">
        <fgColor rgb="FFFFF4CC"/>
      </patternFill>
    </fill>
    <fill>
      <patternFill patternType="solid">
        <fgColor rgb="FFF3F4F6"/>
      </patternFill>
    </fill>
    <fill>
      <patternFill patternType="solid">
        <fgColor rgb="FFDFF4F1"/>
      </patternFill>
    </fill>
    <fill>
      <patternFill patternType="solid">
        <fgColor rgb="FFFFFFFF"/>
      </patternFill>
    </fill>
    <fill>
      <patternFill patternType="solid">
        <fgColor rgb="FFD9EAF7"/>
      </patternFill>
    </fill>
    <fill>
      <patternFill patternType="solid">
        <fgColor theme="5" tint="0.39997558519241921"/>
        <bgColor indexed="64"/>
      </patternFill>
    </fill>
  </fills>
  <borders count="3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7">
    <xf numFmtId="0" fontId="0" fillId="0" borderId="0" xfId="0"/>
    <xf numFmtId="0" fontId="2" fillId="0" borderId="0" xfId="0" applyFont="1"/>
    <xf numFmtId="0" fontId="2" fillId="0" borderId="28" xfId="0" applyFont="1" applyBorder="1"/>
    <xf numFmtId="0" fontId="2" fillId="0" borderId="29" xfId="0" applyFont="1" applyBorder="1"/>
    <xf numFmtId="0" fontId="2" fillId="0" borderId="30" xfId="0" applyFont="1" applyBorder="1"/>
    <xf numFmtId="170" fontId="2" fillId="0" borderId="0" xfId="0" applyNumberFormat="1" applyFont="1"/>
    <xf numFmtId="164" fontId="2" fillId="0" borderId="0" xfId="0" applyNumberFormat="1" applyFont="1"/>
    <xf numFmtId="0" fontId="2" fillId="0" borderId="22" xfId="0" applyFont="1" applyBorder="1"/>
    <xf numFmtId="0" fontId="3" fillId="9" borderId="26" xfId="0" applyFont="1" applyFill="1" applyBorder="1" applyAlignment="1">
      <alignment horizontal="left" vertical="center" wrapText="1"/>
    </xf>
    <xf numFmtId="166" fontId="3" fillId="8" borderId="22" xfId="0" applyNumberFormat="1" applyFont="1" applyFill="1" applyBorder="1" applyAlignment="1">
      <alignment horizontal="right" vertical="center" wrapText="1"/>
    </xf>
    <xf numFmtId="0" fontId="3" fillId="9" borderId="22" xfId="0" applyFont="1" applyFill="1" applyBorder="1" applyAlignment="1">
      <alignment horizontal="left" vertical="center" wrapText="1"/>
    </xf>
    <xf numFmtId="0" fontId="2" fillId="0" borderId="27" xfId="0" applyFont="1" applyBorder="1"/>
    <xf numFmtId="168" fontId="3" fillId="8" borderId="22" xfId="0" applyNumberFormat="1" applyFont="1" applyFill="1" applyBorder="1" applyAlignment="1">
      <alignment horizontal="right" vertical="center" wrapText="1"/>
    </xf>
    <xf numFmtId="0" fontId="3" fillId="8" borderId="22" xfId="0" applyFont="1" applyFill="1" applyBorder="1" applyAlignment="1">
      <alignment horizontal="right" vertical="center" wrapText="1"/>
    </xf>
    <xf numFmtId="164" fontId="3" fillId="8" borderId="22" xfId="0" applyNumberFormat="1" applyFont="1" applyFill="1" applyBorder="1" applyAlignment="1">
      <alignment horizontal="right" vertical="center" wrapText="1"/>
    </xf>
    <xf numFmtId="0" fontId="3" fillId="9" borderId="28" xfId="0" applyFont="1" applyFill="1" applyBorder="1" applyAlignment="1">
      <alignment horizontal="left" vertical="center" wrapText="1"/>
    </xf>
    <xf numFmtId="167" fontId="3" fillId="8" borderId="29" xfId="0" applyNumberFormat="1" applyFont="1" applyFill="1" applyBorder="1" applyAlignment="1">
      <alignment horizontal="right" vertical="center" wrapText="1"/>
    </xf>
    <xf numFmtId="0" fontId="3" fillId="9" borderId="29" xfId="0" applyFont="1" applyFill="1" applyBorder="1" applyAlignment="1">
      <alignment horizontal="left" vertical="center" wrapText="1"/>
    </xf>
    <xf numFmtId="0" fontId="8" fillId="0" borderId="0" xfId="0" applyFont="1"/>
    <xf numFmtId="0" fontId="3" fillId="3"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0" borderId="0" xfId="0" applyFont="1" applyAlignment="1">
      <alignment wrapText="1"/>
    </xf>
    <xf numFmtId="164" fontId="9" fillId="5" borderId="7" xfId="0" applyNumberFormat="1" applyFont="1" applyFill="1" applyBorder="1" applyAlignment="1">
      <alignment horizontal="left" vertical="center" wrapText="1"/>
    </xf>
    <xf numFmtId="0" fontId="2" fillId="0" borderId="0" xfId="0" applyFont="1" applyAlignment="1">
      <alignment wrapText="1"/>
    </xf>
    <xf numFmtId="165" fontId="9" fillId="5" borderId="8" xfId="0" applyNumberFormat="1" applyFont="1" applyFill="1" applyBorder="1" applyAlignment="1">
      <alignment horizontal="left" vertical="center" wrapText="1"/>
    </xf>
    <xf numFmtId="0" fontId="9" fillId="5" borderId="9" xfId="0" applyFont="1" applyFill="1" applyBorder="1" applyAlignment="1">
      <alignment horizontal="left" vertical="center" wrapText="1"/>
    </xf>
    <xf numFmtId="166" fontId="9" fillId="6" borderId="7" xfId="0" applyNumberFormat="1" applyFont="1" applyFill="1" applyBorder="1" applyAlignment="1">
      <alignment horizontal="left" vertical="center" wrapText="1"/>
    </xf>
    <xf numFmtId="166" fontId="9" fillId="6" borderId="9" xfId="0" applyNumberFormat="1" applyFont="1" applyFill="1" applyBorder="1" applyAlignment="1">
      <alignment horizontal="left" vertical="center" wrapText="1"/>
    </xf>
    <xf numFmtId="164" fontId="9" fillId="5" borderId="8" xfId="0" applyNumberFormat="1" applyFont="1" applyFill="1" applyBorder="1" applyAlignment="1">
      <alignment horizontal="left" vertical="center" wrapText="1"/>
    </xf>
    <xf numFmtId="0" fontId="9" fillId="5" borderId="8" xfId="0" applyFont="1" applyFill="1" applyBorder="1" applyAlignment="1">
      <alignment horizontal="left" vertical="center" wrapText="1"/>
    </xf>
    <xf numFmtId="167" fontId="9" fillId="5" borderId="9" xfId="0" applyNumberFormat="1" applyFont="1" applyFill="1" applyBorder="1" applyAlignment="1">
      <alignment horizontal="left" vertical="center" wrapText="1"/>
    </xf>
    <xf numFmtId="164" fontId="9" fillId="6" borderId="10" xfId="0" applyNumberFormat="1" applyFont="1" applyFill="1" applyBorder="1" applyAlignment="1">
      <alignment horizontal="left" vertical="center" wrapText="1"/>
    </xf>
    <xf numFmtId="168" fontId="9" fillId="5" borderId="8" xfId="0" applyNumberFormat="1" applyFont="1" applyFill="1" applyBorder="1" applyAlignment="1">
      <alignment horizontal="left" vertical="center" wrapText="1"/>
    </xf>
    <xf numFmtId="168" fontId="9" fillId="5" borderId="9" xfId="0" applyNumberFormat="1" applyFont="1" applyFill="1" applyBorder="1" applyAlignment="1">
      <alignment horizontal="left" vertical="center" wrapText="1"/>
    </xf>
    <xf numFmtId="168" fontId="9" fillId="6" borderId="7" xfId="0" applyNumberFormat="1" applyFont="1" applyFill="1" applyBorder="1" applyAlignment="1">
      <alignment horizontal="left" vertical="center" wrapText="1"/>
    </xf>
    <xf numFmtId="168" fontId="9" fillId="6" borderId="9" xfId="0" applyNumberFormat="1" applyFont="1" applyFill="1" applyBorder="1" applyAlignment="1">
      <alignment horizontal="left" vertical="center" wrapText="1"/>
    </xf>
    <xf numFmtId="169" fontId="9" fillId="6" borderId="10" xfId="0" applyNumberFormat="1" applyFont="1" applyFill="1" applyBorder="1" applyAlignment="1">
      <alignment horizontal="left" vertical="center" wrapText="1"/>
    </xf>
    <xf numFmtId="0" fontId="3" fillId="7" borderId="7" xfId="0" applyFont="1" applyFill="1" applyBorder="1" applyAlignment="1">
      <alignment horizontal="left" vertical="center" wrapText="1"/>
    </xf>
    <xf numFmtId="0" fontId="3" fillId="7" borderId="9" xfId="0" applyFont="1" applyFill="1" applyBorder="1" applyAlignment="1">
      <alignment horizontal="left" vertical="center" wrapText="1"/>
    </xf>
    <xf numFmtId="0" fontId="5" fillId="3" borderId="17"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9" xfId="0" applyFont="1" applyFill="1" applyBorder="1" applyAlignment="1">
      <alignment horizontal="center" vertical="center" wrapText="1"/>
    </xf>
    <xf numFmtId="0" fontId="9" fillId="5" borderId="11" xfId="0" applyFont="1" applyFill="1" applyBorder="1" applyAlignment="1">
      <alignment horizontal="left" vertical="center" wrapText="1"/>
    </xf>
    <xf numFmtId="0" fontId="9" fillId="5" borderId="12" xfId="0" applyFont="1" applyFill="1" applyBorder="1" applyAlignment="1">
      <alignment horizontal="left" vertical="center" wrapText="1"/>
    </xf>
    <xf numFmtId="164" fontId="9" fillId="5" borderId="12" xfId="0" applyNumberFormat="1" applyFont="1" applyFill="1" applyBorder="1" applyAlignment="1">
      <alignment horizontal="left" vertical="center" wrapText="1"/>
    </xf>
    <xf numFmtId="1" fontId="9" fillId="5" borderId="12" xfId="0" applyNumberFormat="1" applyFont="1" applyFill="1" applyBorder="1" applyAlignment="1">
      <alignment horizontal="left" vertical="center" wrapText="1"/>
    </xf>
    <xf numFmtId="0" fontId="9" fillId="5" borderId="13" xfId="0" applyFont="1" applyFill="1" applyBorder="1" applyAlignment="1">
      <alignment horizontal="left" vertical="center" wrapText="1"/>
    </xf>
    <xf numFmtId="1" fontId="10" fillId="6" borderId="11" xfId="0" applyNumberFormat="1" applyFont="1" applyFill="1" applyBorder="1" applyAlignment="1">
      <alignment horizontal="left" vertical="center"/>
    </xf>
    <xf numFmtId="1" fontId="10" fillId="6" borderId="13" xfId="0" applyNumberFormat="1" applyFont="1" applyFill="1" applyBorder="1" applyAlignment="1">
      <alignment horizontal="left" vertical="center"/>
    </xf>
    <xf numFmtId="0" fontId="9" fillId="5" borderId="20" xfId="0" applyFont="1" applyFill="1" applyBorder="1" applyAlignment="1">
      <alignment horizontal="left" vertical="center" wrapText="1"/>
    </xf>
    <xf numFmtId="0" fontId="9" fillId="5" borderId="0" xfId="0" applyFont="1" applyFill="1" applyAlignment="1">
      <alignment horizontal="left" vertical="center" wrapText="1"/>
    </xf>
    <xf numFmtId="164" fontId="9" fillId="5" borderId="0" xfId="0" applyNumberFormat="1" applyFont="1" applyFill="1" applyAlignment="1">
      <alignment horizontal="left" vertical="center" wrapText="1"/>
    </xf>
    <xf numFmtId="1" fontId="9" fillId="5" borderId="0" xfId="0" applyNumberFormat="1" applyFont="1" applyFill="1" applyAlignment="1">
      <alignment horizontal="left" vertical="center" wrapText="1"/>
    </xf>
    <xf numFmtId="0" fontId="9" fillId="5" borderId="21" xfId="0" applyFont="1" applyFill="1" applyBorder="1" applyAlignment="1">
      <alignment horizontal="left" vertical="center" wrapText="1"/>
    </xf>
    <xf numFmtId="1" fontId="10" fillId="6" borderId="20" xfId="0" applyNumberFormat="1" applyFont="1" applyFill="1" applyBorder="1" applyAlignment="1">
      <alignment horizontal="left" vertical="center"/>
    </xf>
    <xf numFmtId="1" fontId="10" fillId="6" borderId="21" xfId="0" applyNumberFormat="1" applyFont="1" applyFill="1" applyBorder="1" applyAlignment="1">
      <alignment horizontal="left" vertical="center"/>
    </xf>
    <xf numFmtId="0" fontId="9" fillId="5" borderId="14" xfId="0" applyFont="1" applyFill="1" applyBorder="1" applyAlignment="1">
      <alignment horizontal="left" vertical="center" wrapText="1"/>
    </xf>
    <xf numFmtId="0" fontId="9" fillId="5" borderId="15" xfId="0" applyFont="1" applyFill="1" applyBorder="1" applyAlignment="1">
      <alignment horizontal="left" vertical="center" wrapText="1"/>
    </xf>
    <xf numFmtId="164" fontId="9" fillId="5" borderId="15" xfId="0" applyNumberFormat="1" applyFont="1" applyFill="1" applyBorder="1" applyAlignment="1">
      <alignment horizontal="left" vertical="center" wrapText="1"/>
    </xf>
    <xf numFmtId="1" fontId="9" fillId="5" borderId="15" xfId="0" applyNumberFormat="1" applyFont="1" applyFill="1" applyBorder="1" applyAlignment="1">
      <alignment horizontal="left" vertical="center" wrapText="1"/>
    </xf>
    <xf numFmtId="0" fontId="9" fillId="5" borderId="16" xfId="0" applyFont="1" applyFill="1" applyBorder="1" applyAlignment="1">
      <alignment horizontal="left" vertical="center" wrapText="1"/>
    </xf>
    <xf numFmtId="1" fontId="10" fillId="6" borderId="14" xfId="0" applyNumberFormat="1" applyFont="1" applyFill="1" applyBorder="1" applyAlignment="1">
      <alignment horizontal="left" vertical="center"/>
    </xf>
    <xf numFmtId="1" fontId="10" fillId="6" borderId="16" xfId="0" applyNumberFormat="1" applyFont="1" applyFill="1" applyBorder="1" applyAlignment="1">
      <alignment horizontal="left" vertical="center"/>
    </xf>
    <xf numFmtId="166" fontId="2" fillId="0" borderId="0" xfId="0" applyNumberFormat="1" applyFont="1"/>
    <xf numFmtId="164" fontId="11" fillId="8" borderId="7" xfId="0" applyNumberFormat="1" applyFont="1" applyFill="1" applyBorder="1" applyAlignment="1">
      <alignment horizontal="right" vertical="center"/>
    </xf>
    <xf numFmtId="171" fontId="2" fillId="0" borderId="0" xfId="0" applyNumberFormat="1" applyFont="1"/>
    <xf numFmtId="164" fontId="11" fillId="8" borderId="8" xfId="0" applyNumberFormat="1" applyFont="1" applyFill="1" applyBorder="1" applyAlignment="1">
      <alignment horizontal="right" vertical="center"/>
    </xf>
    <xf numFmtId="164" fontId="11" fillId="8" borderId="9" xfId="0" applyNumberFormat="1" applyFont="1" applyFill="1" applyBorder="1" applyAlignment="1">
      <alignment horizontal="right" vertical="center"/>
    </xf>
    <xf numFmtId="0" fontId="3" fillId="4" borderId="5" xfId="0" applyFont="1" applyFill="1" applyBorder="1" applyAlignment="1">
      <alignment horizontal="left" vertical="center" wrapText="1"/>
    </xf>
    <xf numFmtId="0" fontId="4" fillId="3" borderId="22" xfId="0" applyFont="1" applyFill="1" applyBorder="1" applyAlignment="1">
      <alignment horizontal="center" vertical="center" wrapText="1"/>
    </xf>
    <xf numFmtId="0" fontId="4" fillId="3" borderId="27" xfId="0" applyFont="1" applyFill="1" applyBorder="1" applyAlignment="1">
      <alignment horizontal="center" vertical="center" wrapText="1"/>
    </xf>
    <xf numFmtId="164" fontId="6" fillId="8" borderId="22" xfId="0" applyNumberFormat="1" applyFont="1" applyFill="1" applyBorder="1" applyAlignment="1">
      <alignment horizontal="center" vertical="center"/>
    </xf>
    <xf numFmtId="164" fontId="6" fillId="8" borderId="27" xfId="0" applyNumberFormat="1" applyFont="1" applyFill="1" applyBorder="1" applyAlignment="1">
      <alignment horizontal="center" vertical="center"/>
    </xf>
    <xf numFmtId="164" fontId="6" fillId="8" borderId="29" xfId="0" applyNumberFormat="1" applyFont="1" applyFill="1" applyBorder="1" applyAlignment="1">
      <alignment horizontal="center" vertical="center"/>
    </xf>
    <xf numFmtId="164" fontId="6" fillId="8" borderId="30" xfId="0" applyNumberFormat="1" applyFont="1" applyFill="1" applyBorder="1" applyAlignment="1">
      <alignment horizontal="center" vertical="center"/>
    </xf>
    <xf numFmtId="0" fontId="5" fillId="4" borderId="26" xfId="0" applyFont="1" applyFill="1" applyBorder="1" applyAlignment="1">
      <alignment horizontal="center" vertical="center" wrapText="1"/>
    </xf>
    <xf numFmtId="0" fontId="5" fillId="4" borderId="22" xfId="0" applyFont="1" applyFill="1" applyBorder="1" applyAlignment="1">
      <alignment horizontal="center" vertical="center" wrapText="1"/>
    </xf>
    <xf numFmtId="0" fontId="5" fillId="4" borderId="27" xfId="0" applyFont="1" applyFill="1" applyBorder="1" applyAlignment="1">
      <alignment horizontal="center" vertical="center" wrapText="1"/>
    </xf>
    <xf numFmtId="0" fontId="4" fillId="3" borderId="26" xfId="0" applyFont="1" applyFill="1" applyBorder="1" applyAlignment="1">
      <alignment horizontal="center" vertical="center" wrapText="1"/>
    </xf>
    <xf numFmtId="164" fontId="6" fillId="8" borderId="26" xfId="0" applyNumberFormat="1" applyFont="1" applyFill="1" applyBorder="1" applyAlignment="1">
      <alignment horizontal="center" vertical="center"/>
    </xf>
    <xf numFmtId="164" fontId="6" fillId="8" borderId="28" xfId="0" applyNumberFormat="1" applyFont="1" applyFill="1" applyBorder="1" applyAlignment="1">
      <alignment horizontal="center" vertical="center"/>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3" fillId="7" borderId="28" xfId="0" applyFont="1" applyFill="1" applyBorder="1" applyAlignment="1">
      <alignment horizontal="left" vertical="center" wrapText="1"/>
    </xf>
    <xf numFmtId="0" fontId="3" fillId="7" borderId="29" xfId="0" applyFont="1" applyFill="1" applyBorder="1" applyAlignment="1">
      <alignment horizontal="left" vertical="center" wrapText="1"/>
    </xf>
    <xf numFmtId="0" fontId="3" fillId="7" borderId="30" xfId="0" applyFont="1" applyFill="1" applyBorder="1" applyAlignment="1">
      <alignment horizontal="left"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164" fontId="6" fillId="10" borderId="23" xfId="0" applyNumberFormat="1" applyFont="1" applyFill="1" applyBorder="1" applyAlignment="1">
      <alignment horizontal="center" vertical="center"/>
    </xf>
    <xf numFmtId="164" fontId="6" fillId="10" borderId="25" xfId="0" applyNumberFormat="1" applyFont="1" applyFill="1" applyBorder="1" applyAlignment="1">
      <alignment horizontal="center" vertical="center"/>
    </xf>
    <xf numFmtId="164" fontId="6" fillId="10" borderId="26" xfId="0" applyNumberFormat="1" applyFont="1" applyFill="1" applyBorder="1" applyAlignment="1">
      <alignment horizontal="center" vertical="center"/>
    </xf>
    <xf numFmtId="164" fontId="6" fillId="10" borderId="27" xfId="0" applyNumberFormat="1" applyFont="1" applyFill="1" applyBorder="1" applyAlignment="1">
      <alignment horizontal="center" vertical="center"/>
    </xf>
    <xf numFmtId="164" fontId="6" fillId="10" borderId="28" xfId="0" applyNumberFormat="1" applyFont="1" applyFill="1" applyBorder="1" applyAlignment="1">
      <alignment horizontal="center" vertical="center"/>
    </xf>
    <xf numFmtId="164" fontId="6" fillId="10" borderId="30" xfId="0" applyNumberFormat="1" applyFont="1" applyFill="1" applyBorder="1" applyAlignment="1">
      <alignment horizontal="center" vertical="center"/>
    </xf>
    <xf numFmtId="0" fontId="4" fillId="3" borderId="2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3" fillId="7" borderId="11"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3" xfId="0" applyFont="1" applyFill="1" applyBorder="1" applyAlignment="1">
      <alignment horizontal="left" vertical="top" wrapText="1"/>
    </xf>
    <xf numFmtId="0" fontId="3" fillId="7" borderId="14" xfId="0" applyFont="1" applyFill="1" applyBorder="1" applyAlignment="1">
      <alignment horizontal="left" vertical="top" wrapText="1"/>
    </xf>
    <xf numFmtId="0" fontId="3" fillId="7" borderId="15" xfId="0" applyFont="1" applyFill="1" applyBorder="1" applyAlignment="1">
      <alignment horizontal="left" vertical="top" wrapText="1"/>
    </xf>
    <xf numFmtId="0" fontId="3" fillId="7" borderId="16" xfId="0" applyFont="1" applyFill="1" applyBorder="1" applyAlignment="1">
      <alignment horizontal="left" vertical="top" wrapText="1"/>
    </xf>
    <xf numFmtId="0" fontId="9" fillId="5" borderId="11" xfId="0" applyFont="1" applyFill="1" applyBorder="1" applyAlignment="1">
      <alignment horizontal="left" vertical="top" wrapText="1"/>
    </xf>
    <xf numFmtId="0" fontId="9" fillId="5" borderId="12" xfId="0" applyFont="1" applyFill="1" applyBorder="1" applyAlignment="1">
      <alignment horizontal="left" vertical="top" wrapText="1"/>
    </xf>
    <xf numFmtId="0" fontId="9" fillId="5" borderId="13" xfId="0" applyFont="1" applyFill="1" applyBorder="1" applyAlignment="1">
      <alignment horizontal="left" vertical="top" wrapText="1"/>
    </xf>
    <xf numFmtId="0" fontId="9" fillId="5" borderId="20" xfId="0" applyFont="1" applyFill="1" applyBorder="1" applyAlignment="1">
      <alignment horizontal="left" vertical="top" wrapText="1"/>
    </xf>
    <xf numFmtId="0" fontId="9" fillId="5" borderId="0" xfId="0" applyFont="1" applyFill="1" applyAlignment="1">
      <alignment horizontal="left" vertical="top" wrapText="1"/>
    </xf>
    <xf numFmtId="0" fontId="9" fillId="5" borderId="21" xfId="0" applyFont="1" applyFill="1" applyBorder="1" applyAlignment="1">
      <alignment horizontal="left" vertical="top" wrapText="1"/>
    </xf>
    <xf numFmtId="0" fontId="9" fillId="5" borderId="14" xfId="0" applyFont="1" applyFill="1" applyBorder="1" applyAlignment="1">
      <alignment horizontal="left" vertical="top" wrapText="1"/>
    </xf>
    <xf numFmtId="0" fontId="9" fillId="5" borderId="15" xfId="0" applyFont="1" applyFill="1" applyBorder="1" applyAlignment="1">
      <alignment horizontal="left" vertical="top" wrapText="1"/>
    </xf>
    <xf numFmtId="0" fontId="9" fillId="5" borderId="16" xfId="0" applyFont="1" applyFill="1" applyBorder="1" applyAlignment="1">
      <alignment horizontal="left" vertical="top" wrapText="1"/>
    </xf>
  </cellXfs>
  <cellStyles count="1">
    <cellStyle name="Normal" xfId="0" builtinId="0"/>
  </cellStyles>
  <dxfs count="14">
    <dxf>
      <fill>
        <patternFill patternType="solid">
          <bgColor rgb="FFE0F2FE"/>
        </patternFill>
      </fill>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s>
  <tableStyles count="0" defaultTableStyle="TableStyleMedium2" defaultPivotStyle="PivotStyleLight16"/>
  <colors>
    <mruColors>
      <color rgb="FFFFDB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Monthly operating cost</a:t>
            </a:r>
          </a:p>
        </c:rich>
      </c:tx>
      <c:overlay val="0"/>
    </c:title>
    <c:autoTitleDeleted val="0"/>
    <c:plotArea>
      <c:layout/>
      <c:lineChart>
        <c:grouping val="standard"/>
        <c:varyColors val="1"/>
        <c:ser>
          <c:idx val="0"/>
          <c:order val="0"/>
          <c:tx>
            <c:v>Monthly operating cost</c:v>
          </c:tx>
          <c:cat>
            <c:numRef>
              <c:f>Dashboard!$N$3:$N$122</c:f>
              <c:numCache>
                <c:formatCode>mmm\ yyyy</c:formatCode>
                <c:ptCount val="120"/>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pt idx="16">
                  <c:v>46631</c:v>
                </c:pt>
                <c:pt idx="17">
                  <c:v>46661</c:v>
                </c:pt>
                <c:pt idx="18">
                  <c:v>46692</c:v>
                </c:pt>
                <c:pt idx="19">
                  <c:v>46722</c:v>
                </c:pt>
                <c:pt idx="20">
                  <c:v>46753</c:v>
                </c:pt>
                <c:pt idx="21">
                  <c:v>46784</c:v>
                </c:pt>
                <c:pt idx="22">
                  <c:v>46813</c:v>
                </c:pt>
                <c:pt idx="23">
                  <c:v>46844</c:v>
                </c:pt>
                <c:pt idx="24">
                  <c:v>46874</c:v>
                </c:pt>
                <c:pt idx="25">
                  <c:v>46905</c:v>
                </c:pt>
                <c:pt idx="26">
                  <c:v>46935</c:v>
                </c:pt>
                <c:pt idx="27">
                  <c:v>46966</c:v>
                </c:pt>
                <c:pt idx="28">
                  <c:v>46997</c:v>
                </c:pt>
                <c:pt idx="29">
                  <c:v>47027</c:v>
                </c:pt>
                <c:pt idx="30">
                  <c:v>47058</c:v>
                </c:pt>
                <c:pt idx="31">
                  <c:v>47088</c:v>
                </c:pt>
                <c:pt idx="32">
                  <c:v>47119</c:v>
                </c:pt>
                <c:pt idx="33">
                  <c:v>47150</c:v>
                </c:pt>
                <c:pt idx="34">
                  <c:v>47178</c:v>
                </c:pt>
                <c:pt idx="35">
                  <c:v>47209</c:v>
                </c:pt>
                <c:pt idx="36">
                  <c:v>47239</c:v>
                </c:pt>
                <c:pt idx="37">
                  <c:v>47270</c:v>
                </c:pt>
                <c:pt idx="38">
                  <c:v>47300</c:v>
                </c:pt>
                <c:pt idx="39">
                  <c:v>47331</c:v>
                </c:pt>
                <c:pt idx="40">
                  <c:v>47362</c:v>
                </c:pt>
                <c:pt idx="41">
                  <c:v>47392</c:v>
                </c:pt>
                <c:pt idx="42">
                  <c:v>47423</c:v>
                </c:pt>
                <c:pt idx="43">
                  <c:v>47453</c:v>
                </c:pt>
                <c:pt idx="44">
                  <c:v>47484</c:v>
                </c:pt>
                <c:pt idx="45">
                  <c:v>47515</c:v>
                </c:pt>
                <c:pt idx="46">
                  <c:v>47543</c:v>
                </c:pt>
                <c:pt idx="47">
                  <c:v>47574</c:v>
                </c:pt>
                <c:pt idx="48">
                  <c:v>47604</c:v>
                </c:pt>
                <c:pt idx="49">
                  <c:v>47635</c:v>
                </c:pt>
                <c:pt idx="50">
                  <c:v>47665</c:v>
                </c:pt>
                <c:pt idx="51">
                  <c:v>47696</c:v>
                </c:pt>
                <c:pt idx="52">
                  <c:v>47727</c:v>
                </c:pt>
                <c:pt idx="53">
                  <c:v>47757</c:v>
                </c:pt>
                <c:pt idx="54">
                  <c:v>47788</c:v>
                </c:pt>
                <c:pt idx="55">
                  <c:v>47818</c:v>
                </c:pt>
                <c:pt idx="56">
                  <c:v>47849</c:v>
                </c:pt>
                <c:pt idx="57">
                  <c:v>47880</c:v>
                </c:pt>
                <c:pt idx="58">
                  <c:v>47908</c:v>
                </c:pt>
                <c:pt idx="59">
                  <c:v>47939</c:v>
                </c:pt>
                <c:pt idx="60">
                  <c:v>47969</c:v>
                </c:pt>
                <c:pt idx="61">
                  <c:v>48000</c:v>
                </c:pt>
                <c:pt idx="62">
                  <c:v>48030</c:v>
                </c:pt>
                <c:pt idx="63">
                  <c:v>48061</c:v>
                </c:pt>
                <c:pt idx="64">
                  <c:v>48092</c:v>
                </c:pt>
                <c:pt idx="65">
                  <c:v>48122</c:v>
                </c:pt>
                <c:pt idx="66">
                  <c:v>48153</c:v>
                </c:pt>
                <c:pt idx="67">
                  <c:v>48183</c:v>
                </c:pt>
                <c:pt idx="68">
                  <c:v>48214</c:v>
                </c:pt>
                <c:pt idx="69">
                  <c:v>48245</c:v>
                </c:pt>
                <c:pt idx="70">
                  <c:v>48274</c:v>
                </c:pt>
                <c:pt idx="71">
                  <c:v>48305</c:v>
                </c:pt>
                <c:pt idx="72">
                  <c:v>48335</c:v>
                </c:pt>
                <c:pt idx="73">
                  <c:v>48366</c:v>
                </c:pt>
                <c:pt idx="74">
                  <c:v>48396</c:v>
                </c:pt>
                <c:pt idx="75">
                  <c:v>48427</c:v>
                </c:pt>
                <c:pt idx="76">
                  <c:v>48458</c:v>
                </c:pt>
                <c:pt idx="77">
                  <c:v>48488</c:v>
                </c:pt>
                <c:pt idx="78">
                  <c:v>48519</c:v>
                </c:pt>
                <c:pt idx="79">
                  <c:v>48549</c:v>
                </c:pt>
                <c:pt idx="80">
                  <c:v>48580</c:v>
                </c:pt>
                <c:pt idx="81">
                  <c:v>48611</c:v>
                </c:pt>
                <c:pt idx="82">
                  <c:v>48639</c:v>
                </c:pt>
                <c:pt idx="83">
                  <c:v>48670</c:v>
                </c:pt>
                <c:pt idx="84">
                  <c:v>48700</c:v>
                </c:pt>
                <c:pt idx="85">
                  <c:v>48731</c:v>
                </c:pt>
                <c:pt idx="86">
                  <c:v>48761</c:v>
                </c:pt>
                <c:pt idx="87">
                  <c:v>48792</c:v>
                </c:pt>
                <c:pt idx="88">
                  <c:v>48823</c:v>
                </c:pt>
                <c:pt idx="89">
                  <c:v>48853</c:v>
                </c:pt>
                <c:pt idx="90">
                  <c:v>48884</c:v>
                </c:pt>
                <c:pt idx="91">
                  <c:v>48914</c:v>
                </c:pt>
                <c:pt idx="92">
                  <c:v>48945</c:v>
                </c:pt>
                <c:pt idx="93">
                  <c:v>48976</c:v>
                </c:pt>
                <c:pt idx="94">
                  <c:v>49004</c:v>
                </c:pt>
                <c:pt idx="95">
                  <c:v>49035</c:v>
                </c:pt>
                <c:pt idx="96">
                  <c:v>49065</c:v>
                </c:pt>
                <c:pt idx="97">
                  <c:v>49096</c:v>
                </c:pt>
                <c:pt idx="98">
                  <c:v>49126</c:v>
                </c:pt>
                <c:pt idx="99">
                  <c:v>49157</c:v>
                </c:pt>
                <c:pt idx="100">
                  <c:v>49188</c:v>
                </c:pt>
                <c:pt idx="101">
                  <c:v>49218</c:v>
                </c:pt>
                <c:pt idx="102">
                  <c:v>49249</c:v>
                </c:pt>
                <c:pt idx="103">
                  <c:v>49279</c:v>
                </c:pt>
                <c:pt idx="104">
                  <c:v>49310</c:v>
                </c:pt>
                <c:pt idx="105">
                  <c:v>49341</c:v>
                </c:pt>
                <c:pt idx="106">
                  <c:v>49369</c:v>
                </c:pt>
                <c:pt idx="107">
                  <c:v>49400</c:v>
                </c:pt>
                <c:pt idx="108">
                  <c:v>49430</c:v>
                </c:pt>
                <c:pt idx="109">
                  <c:v>49461</c:v>
                </c:pt>
                <c:pt idx="110">
                  <c:v>49491</c:v>
                </c:pt>
                <c:pt idx="111">
                  <c:v>49522</c:v>
                </c:pt>
                <c:pt idx="112">
                  <c:v>49553</c:v>
                </c:pt>
                <c:pt idx="113">
                  <c:v>49583</c:v>
                </c:pt>
                <c:pt idx="114">
                  <c:v>49614</c:v>
                </c:pt>
                <c:pt idx="115">
                  <c:v>49644</c:v>
                </c:pt>
                <c:pt idx="116">
                  <c:v>49675</c:v>
                </c:pt>
                <c:pt idx="117">
                  <c:v>49706</c:v>
                </c:pt>
                <c:pt idx="118">
                  <c:v>49735</c:v>
                </c:pt>
                <c:pt idx="119">
                  <c:v>49766</c:v>
                </c:pt>
              </c:numCache>
            </c:numRef>
          </c:cat>
          <c:val>
            <c:numRef>
              <c:f>Dashboard!$O$3:$O$122</c:f>
              <c:numCache>
                <c:formatCode>#,##0\ "SEK"</c:formatCode>
                <c:ptCount val="120"/>
                <c:pt idx="0">
                  <c:v>2579.3020185585751</c:v>
                </c:pt>
                <c:pt idx="1">
                  <c:v>2082.5530006747085</c:v>
                </c:pt>
                <c:pt idx="2">
                  <c:v>2086.8427188793685</c:v>
                </c:pt>
                <c:pt idx="3">
                  <c:v>3906.0179808974663</c:v>
                </c:pt>
                <c:pt idx="4">
                  <c:v>4419.23458745076</c:v>
                </c:pt>
                <c:pt idx="5">
                  <c:v>2099.7649630375281</c:v>
                </c:pt>
                <c:pt idx="6">
                  <c:v>2104.0901350665386</c:v>
                </c:pt>
                <c:pt idx="7">
                  <c:v>2108.4242162417668</c:v>
                </c:pt>
                <c:pt idx="8">
                  <c:v>2112.7672249145962</c:v>
                </c:pt>
                <c:pt idx="9">
                  <c:v>2117.1191794742103</c:v>
                </c:pt>
                <c:pt idx="10">
                  <c:v>2121.4800983476707</c:v>
                </c:pt>
                <c:pt idx="11">
                  <c:v>7045.8499999999904</c:v>
                </c:pt>
                <c:pt idx="12">
                  <c:v>2130.2289029342419</c:v>
                </c:pt>
                <c:pt idx="13">
                  <c:v>2134.6168256915735</c:v>
                </c:pt>
                <c:pt idx="14">
                  <c:v>2139.0137868513498</c:v>
                </c:pt>
                <c:pt idx="15">
                  <c:v>2143.4198050311998</c:v>
                </c:pt>
                <c:pt idx="16">
                  <c:v>2147.8348988871021</c:v>
                </c:pt>
                <c:pt idx="17">
                  <c:v>5265.4593095533828</c:v>
                </c:pt>
                <c:pt idx="18">
                  <c:v>2156.6923884431985</c:v>
                </c:pt>
                <c:pt idx="19">
                  <c:v>2161.1348216478082</c:v>
                </c:pt>
                <c:pt idx="20">
                  <c:v>2165.5864055374577</c:v>
                </c:pt>
                <c:pt idx="21">
                  <c:v>2170.0471589610625</c:v>
                </c:pt>
                <c:pt idx="22">
                  <c:v>2174.5171008063598</c:v>
                </c:pt>
                <c:pt idx="23">
                  <c:v>8745.4024999999747</c:v>
                </c:pt>
                <c:pt idx="24">
                  <c:v>2183.4846255075954</c:v>
                </c:pt>
                <c:pt idx="25">
                  <c:v>2187.9822463338596</c:v>
                </c:pt>
                <c:pt idx="26">
                  <c:v>2192.48913152263</c:v>
                </c:pt>
                <c:pt idx="27">
                  <c:v>2197.0053001569768</c:v>
                </c:pt>
                <c:pt idx="28">
                  <c:v>2201.5307713592765</c:v>
                </c:pt>
                <c:pt idx="29">
                  <c:v>2206.0655642912971</c:v>
                </c:pt>
                <c:pt idx="30">
                  <c:v>2210.609698154276</c:v>
                </c:pt>
                <c:pt idx="31">
                  <c:v>2215.1631921889998</c:v>
                </c:pt>
                <c:pt idx="32">
                  <c:v>2219.7260656758908</c:v>
                </c:pt>
                <c:pt idx="33">
                  <c:v>2224.2983379350858</c:v>
                </c:pt>
                <c:pt idx="34">
                  <c:v>2228.8800283265155</c:v>
                </c:pt>
                <c:pt idx="35">
                  <c:v>8964.0375624999615</c:v>
                </c:pt>
                <c:pt idx="36">
                  <c:v>2238.071741145282</c:v>
                </c:pt>
                <c:pt idx="37">
                  <c:v>2242.6818024922031</c:v>
                </c:pt>
                <c:pt idx="38">
                  <c:v>2247.3013598106932</c:v>
                </c:pt>
                <c:pt idx="39">
                  <c:v>2251.9304326608976</c:v>
                </c:pt>
                <c:pt idx="40">
                  <c:v>2256.5690406432554</c:v>
                </c:pt>
                <c:pt idx="41">
                  <c:v>2261.2172033985767</c:v>
                </c:pt>
                <c:pt idx="42">
                  <c:v>2265.8749406081292</c:v>
                </c:pt>
                <c:pt idx="43">
                  <c:v>2270.5422719937214</c:v>
                </c:pt>
                <c:pt idx="44">
                  <c:v>2275.219217317785</c:v>
                </c:pt>
                <c:pt idx="45">
                  <c:v>2279.9057963834598</c:v>
                </c:pt>
                <c:pt idx="46">
                  <c:v>2284.6020290346751</c:v>
                </c:pt>
                <c:pt idx="47">
                  <c:v>11395.764282812435</c:v>
                </c:pt>
                <c:pt idx="48">
                  <c:v>2294.0235346739109</c:v>
                </c:pt>
                <c:pt idx="49">
                  <c:v>2298.7488475545051</c:v>
                </c:pt>
                <c:pt idx="50">
                  <c:v>2303.4838938059565</c:v>
                </c:pt>
                <c:pt idx="51">
                  <c:v>2308.2286934774174</c:v>
                </c:pt>
                <c:pt idx="52">
                  <c:v>2312.9832666593329</c:v>
                </c:pt>
                <c:pt idx="53">
                  <c:v>2317.7476334835374</c:v>
                </c:pt>
                <c:pt idx="54">
                  <c:v>2322.5218141233295</c:v>
                </c:pt>
                <c:pt idx="55">
                  <c:v>2327.3058287935614</c:v>
                </c:pt>
                <c:pt idx="56">
                  <c:v>2332.099697750727</c:v>
                </c:pt>
                <c:pt idx="57">
                  <c:v>2336.9034412930428</c:v>
                </c:pt>
                <c:pt idx="58">
                  <c:v>2341.7170797605386</c:v>
                </c:pt>
                <c:pt idx="59">
                  <c:v>3760.8008996484114</c:v>
                </c:pt>
                <c:pt idx="60">
                  <c:v>2351.374123040755</c:v>
                </c:pt>
                <c:pt idx="61">
                  <c:v>2356.2175687433642</c:v>
                </c:pt>
                <c:pt idx="62">
                  <c:v>2361.070991151103</c:v>
                </c:pt>
                <c:pt idx="63">
                  <c:v>2365.9344108143491</c:v>
                </c:pt>
                <c:pt idx="64">
                  <c:v>2370.8078483258132</c:v>
                </c:pt>
                <c:pt idx="65">
                  <c:v>2375.6913243206227</c:v>
                </c:pt>
                <c:pt idx="66">
                  <c:v>2380.5848594764093</c:v>
                </c:pt>
                <c:pt idx="67">
                  <c:v>2385.4884745133968</c:v>
                </c:pt>
                <c:pt idx="68">
                  <c:v>2390.4021901944916</c:v>
                </c:pt>
                <c:pt idx="69">
                  <c:v>2395.3260273253654</c:v>
                </c:pt>
                <c:pt idx="70">
                  <c:v>2400.2600067545491</c:v>
                </c:pt>
                <c:pt idx="71">
                  <c:v>3854.8209221396164</c:v>
                </c:pt>
                <c:pt idx="72">
                  <c:v>2410.1584761167705</c:v>
                </c:pt>
                <c:pt idx="73">
                  <c:v>2415.1230079619449</c:v>
                </c:pt>
                <c:pt idx="74">
                  <c:v>2420.0977659298769</c:v>
                </c:pt>
                <c:pt idx="75">
                  <c:v>2425.0827710847047</c:v>
                </c:pt>
                <c:pt idx="76">
                  <c:v>2430.0780445339551</c:v>
                </c:pt>
                <c:pt idx="77">
                  <c:v>2435.0836074286349</c:v>
                </c:pt>
                <c:pt idx="78">
                  <c:v>2440.0994809633157</c:v>
                </c:pt>
                <c:pt idx="79">
                  <c:v>12466.132597754213</c:v>
                </c:pt>
                <c:pt idx="80">
                  <c:v>2450.1622449493507</c:v>
                </c:pt>
                <c:pt idx="81">
                  <c:v>2455.2091780084966</c:v>
                </c:pt>
                <c:pt idx="82">
                  <c:v>2460.266506923409</c:v>
                </c:pt>
                <c:pt idx="83">
                  <c:v>3951.1914451931016</c:v>
                </c:pt>
                <c:pt idx="84">
                  <c:v>2470.4124380196863</c:v>
                </c:pt>
                <c:pt idx="85">
                  <c:v>2475.5010831609898</c:v>
                </c:pt>
                <c:pt idx="86">
                  <c:v>2480.6002100781197</c:v>
                </c:pt>
                <c:pt idx="87">
                  <c:v>2485.7098403618184</c:v>
                </c:pt>
                <c:pt idx="88">
                  <c:v>2490.8299956473011</c:v>
                </c:pt>
                <c:pt idx="89">
                  <c:v>2495.9606976143473</c:v>
                </c:pt>
                <c:pt idx="90">
                  <c:v>2501.1019679873953</c:v>
                </c:pt>
                <c:pt idx="91">
                  <c:v>2506.2538285356309</c:v>
                </c:pt>
                <c:pt idx="92">
                  <c:v>2511.4163010730804</c:v>
                </c:pt>
                <c:pt idx="93">
                  <c:v>2516.589407458705</c:v>
                </c:pt>
                <c:pt idx="94">
                  <c:v>2521.7731695964912</c:v>
                </c:pt>
                <c:pt idx="95">
                  <c:v>4049.971231322922</c:v>
                </c:pt>
                <c:pt idx="96">
                  <c:v>2532.1727489701752</c:v>
                </c:pt>
                <c:pt idx="97">
                  <c:v>2537.3886102400111</c:v>
                </c:pt>
                <c:pt idx="98">
                  <c:v>2542.6152153300691</c:v>
                </c:pt>
                <c:pt idx="99">
                  <c:v>2547.8525863708605</c:v>
                </c:pt>
                <c:pt idx="100">
                  <c:v>2553.1007455384797</c:v>
                </c:pt>
                <c:pt idx="101">
                  <c:v>2558.3597150547021</c:v>
                </c:pt>
                <c:pt idx="102">
                  <c:v>2563.629517187077</c:v>
                </c:pt>
                <c:pt idx="103">
                  <c:v>2568.9101742490184</c:v>
                </c:pt>
                <c:pt idx="104">
                  <c:v>2574.2017085999041</c:v>
                </c:pt>
                <c:pt idx="105">
                  <c:v>2579.5041426451694</c:v>
                </c:pt>
                <c:pt idx="106">
                  <c:v>2584.8174988363994</c:v>
                </c:pt>
                <c:pt idx="107">
                  <c:v>4151.2205121059906</c:v>
                </c:pt>
                <c:pt idx="108">
                  <c:v>2595.4770676944254</c:v>
                </c:pt>
                <c:pt idx="109">
                  <c:v>2600.8233254960078</c:v>
                </c:pt>
                <c:pt idx="110">
                  <c:v>2606.1805957133174</c:v>
                </c:pt>
                <c:pt idx="111">
                  <c:v>2611.548901030128</c:v>
                </c:pt>
                <c:pt idx="112">
                  <c:v>2616.9282641769382</c:v>
                </c:pt>
                <c:pt idx="113">
                  <c:v>2622.3187079310665</c:v>
                </c:pt>
                <c:pt idx="114">
                  <c:v>2627.7202551167493</c:v>
                </c:pt>
                <c:pt idx="115">
                  <c:v>2633.1329286052396</c:v>
                </c:pt>
                <c:pt idx="116">
                  <c:v>2638.5567513148976</c:v>
                </c:pt>
                <c:pt idx="117">
                  <c:v>2643.9917462112949</c:v>
                </c:pt>
                <c:pt idx="118">
                  <c:v>2649.4379363073058</c:v>
                </c:pt>
                <c:pt idx="119">
                  <c:v>4255.0010249086345</c:v>
                </c:pt>
              </c:numCache>
            </c:numRef>
          </c:val>
          <c:smooth val="0"/>
          <c:extLst>
            <c:ext xmlns:c16="http://schemas.microsoft.com/office/drawing/2014/chart" uri="{C3380CC4-5D6E-409C-BE32-E72D297353CC}">
              <c16:uniqueId val="{00000000-18EB-488F-8741-E47FAFD85088}"/>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mmm\ yyyy" sourceLinked="1"/>
        <c:majorTickMark val="none"/>
        <c:minorTickMark val="none"/>
        <c:tickLblPos val="nextTo"/>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 &quot;SEK&quot;"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Cumulative nominal cost</a:t>
            </a:r>
          </a:p>
        </c:rich>
      </c:tx>
      <c:overlay val="0"/>
    </c:title>
    <c:autoTitleDeleted val="0"/>
    <c:plotArea>
      <c:layout/>
      <c:lineChart>
        <c:grouping val="standard"/>
        <c:varyColors val="1"/>
        <c:ser>
          <c:idx val="0"/>
          <c:order val="0"/>
          <c:tx>
            <c:v>Cumulative nominal cost</c:v>
          </c:tx>
          <c:cat>
            <c:numRef>
              <c:f>Dashboard!$Q$3:$Q$122</c:f>
              <c:numCache>
                <c:formatCode>mmm\ yyyy</c:formatCode>
                <c:ptCount val="120"/>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pt idx="16">
                  <c:v>46631</c:v>
                </c:pt>
                <c:pt idx="17">
                  <c:v>46661</c:v>
                </c:pt>
                <c:pt idx="18">
                  <c:v>46692</c:v>
                </c:pt>
                <c:pt idx="19">
                  <c:v>46722</c:v>
                </c:pt>
                <c:pt idx="20">
                  <c:v>46753</c:v>
                </c:pt>
                <c:pt idx="21">
                  <c:v>46784</c:v>
                </c:pt>
                <c:pt idx="22">
                  <c:v>46813</c:v>
                </c:pt>
                <c:pt idx="23">
                  <c:v>46844</c:v>
                </c:pt>
                <c:pt idx="24">
                  <c:v>46874</c:v>
                </c:pt>
                <c:pt idx="25">
                  <c:v>46905</c:v>
                </c:pt>
                <c:pt idx="26">
                  <c:v>46935</c:v>
                </c:pt>
                <c:pt idx="27">
                  <c:v>46966</c:v>
                </c:pt>
                <c:pt idx="28">
                  <c:v>46997</c:v>
                </c:pt>
                <c:pt idx="29">
                  <c:v>47027</c:v>
                </c:pt>
                <c:pt idx="30">
                  <c:v>47058</c:v>
                </c:pt>
                <c:pt idx="31">
                  <c:v>47088</c:v>
                </c:pt>
                <c:pt idx="32">
                  <c:v>47119</c:v>
                </c:pt>
                <c:pt idx="33">
                  <c:v>47150</c:v>
                </c:pt>
                <c:pt idx="34">
                  <c:v>47178</c:v>
                </c:pt>
                <c:pt idx="35">
                  <c:v>47209</c:v>
                </c:pt>
                <c:pt idx="36">
                  <c:v>47239</c:v>
                </c:pt>
                <c:pt idx="37">
                  <c:v>47270</c:v>
                </c:pt>
                <c:pt idx="38">
                  <c:v>47300</c:v>
                </c:pt>
                <c:pt idx="39">
                  <c:v>47331</c:v>
                </c:pt>
                <c:pt idx="40">
                  <c:v>47362</c:v>
                </c:pt>
                <c:pt idx="41">
                  <c:v>47392</c:v>
                </c:pt>
                <c:pt idx="42">
                  <c:v>47423</c:v>
                </c:pt>
                <c:pt idx="43">
                  <c:v>47453</c:v>
                </c:pt>
                <c:pt idx="44">
                  <c:v>47484</c:v>
                </c:pt>
                <c:pt idx="45">
                  <c:v>47515</c:v>
                </c:pt>
                <c:pt idx="46">
                  <c:v>47543</c:v>
                </c:pt>
                <c:pt idx="47">
                  <c:v>47574</c:v>
                </c:pt>
                <c:pt idx="48">
                  <c:v>47604</c:v>
                </c:pt>
                <c:pt idx="49">
                  <c:v>47635</c:v>
                </c:pt>
                <c:pt idx="50">
                  <c:v>47665</c:v>
                </c:pt>
                <c:pt idx="51">
                  <c:v>47696</c:v>
                </c:pt>
                <c:pt idx="52">
                  <c:v>47727</c:v>
                </c:pt>
                <c:pt idx="53">
                  <c:v>47757</c:v>
                </c:pt>
                <c:pt idx="54">
                  <c:v>47788</c:v>
                </c:pt>
                <c:pt idx="55">
                  <c:v>47818</c:v>
                </c:pt>
                <c:pt idx="56">
                  <c:v>47849</c:v>
                </c:pt>
                <c:pt idx="57">
                  <c:v>47880</c:v>
                </c:pt>
                <c:pt idx="58">
                  <c:v>47908</c:v>
                </c:pt>
                <c:pt idx="59">
                  <c:v>47939</c:v>
                </c:pt>
                <c:pt idx="60">
                  <c:v>47969</c:v>
                </c:pt>
                <c:pt idx="61">
                  <c:v>48000</c:v>
                </c:pt>
                <c:pt idx="62">
                  <c:v>48030</c:v>
                </c:pt>
                <c:pt idx="63">
                  <c:v>48061</c:v>
                </c:pt>
                <c:pt idx="64">
                  <c:v>48092</c:v>
                </c:pt>
                <c:pt idx="65">
                  <c:v>48122</c:v>
                </c:pt>
                <c:pt idx="66">
                  <c:v>48153</c:v>
                </c:pt>
                <c:pt idx="67">
                  <c:v>48183</c:v>
                </c:pt>
                <c:pt idx="68">
                  <c:v>48214</c:v>
                </c:pt>
                <c:pt idx="69">
                  <c:v>48245</c:v>
                </c:pt>
                <c:pt idx="70">
                  <c:v>48274</c:v>
                </c:pt>
                <c:pt idx="71">
                  <c:v>48305</c:v>
                </c:pt>
                <c:pt idx="72">
                  <c:v>48335</c:v>
                </c:pt>
                <c:pt idx="73">
                  <c:v>48366</c:v>
                </c:pt>
                <c:pt idx="74">
                  <c:v>48396</c:v>
                </c:pt>
                <c:pt idx="75">
                  <c:v>48427</c:v>
                </c:pt>
                <c:pt idx="76">
                  <c:v>48458</c:v>
                </c:pt>
                <c:pt idx="77">
                  <c:v>48488</c:v>
                </c:pt>
                <c:pt idx="78">
                  <c:v>48519</c:v>
                </c:pt>
                <c:pt idx="79">
                  <c:v>48549</c:v>
                </c:pt>
                <c:pt idx="80">
                  <c:v>48580</c:v>
                </c:pt>
                <c:pt idx="81">
                  <c:v>48611</c:v>
                </c:pt>
                <c:pt idx="82">
                  <c:v>48639</c:v>
                </c:pt>
                <c:pt idx="83">
                  <c:v>48670</c:v>
                </c:pt>
                <c:pt idx="84">
                  <c:v>48700</c:v>
                </c:pt>
                <c:pt idx="85">
                  <c:v>48731</c:v>
                </c:pt>
                <c:pt idx="86">
                  <c:v>48761</c:v>
                </c:pt>
                <c:pt idx="87">
                  <c:v>48792</c:v>
                </c:pt>
                <c:pt idx="88">
                  <c:v>48823</c:v>
                </c:pt>
                <c:pt idx="89">
                  <c:v>48853</c:v>
                </c:pt>
                <c:pt idx="90">
                  <c:v>48884</c:v>
                </c:pt>
                <c:pt idx="91">
                  <c:v>48914</c:v>
                </c:pt>
                <c:pt idx="92">
                  <c:v>48945</c:v>
                </c:pt>
                <c:pt idx="93">
                  <c:v>48976</c:v>
                </c:pt>
                <c:pt idx="94">
                  <c:v>49004</c:v>
                </c:pt>
                <c:pt idx="95">
                  <c:v>49035</c:v>
                </c:pt>
                <c:pt idx="96">
                  <c:v>49065</c:v>
                </c:pt>
                <c:pt idx="97">
                  <c:v>49096</c:v>
                </c:pt>
                <c:pt idx="98">
                  <c:v>49126</c:v>
                </c:pt>
                <c:pt idx="99">
                  <c:v>49157</c:v>
                </c:pt>
                <c:pt idx="100">
                  <c:v>49188</c:v>
                </c:pt>
                <c:pt idx="101">
                  <c:v>49218</c:v>
                </c:pt>
                <c:pt idx="102">
                  <c:v>49249</c:v>
                </c:pt>
                <c:pt idx="103">
                  <c:v>49279</c:v>
                </c:pt>
                <c:pt idx="104">
                  <c:v>49310</c:v>
                </c:pt>
                <c:pt idx="105">
                  <c:v>49341</c:v>
                </c:pt>
                <c:pt idx="106">
                  <c:v>49369</c:v>
                </c:pt>
                <c:pt idx="107">
                  <c:v>49400</c:v>
                </c:pt>
                <c:pt idx="108">
                  <c:v>49430</c:v>
                </c:pt>
                <c:pt idx="109">
                  <c:v>49461</c:v>
                </c:pt>
                <c:pt idx="110">
                  <c:v>49491</c:v>
                </c:pt>
                <c:pt idx="111">
                  <c:v>49522</c:v>
                </c:pt>
                <c:pt idx="112">
                  <c:v>49553</c:v>
                </c:pt>
                <c:pt idx="113">
                  <c:v>49583</c:v>
                </c:pt>
                <c:pt idx="114">
                  <c:v>49614</c:v>
                </c:pt>
                <c:pt idx="115">
                  <c:v>49644</c:v>
                </c:pt>
                <c:pt idx="116">
                  <c:v>49675</c:v>
                </c:pt>
                <c:pt idx="117">
                  <c:v>49706</c:v>
                </c:pt>
                <c:pt idx="118">
                  <c:v>49735</c:v>
                </c:pt>
                <c:pt idx="119">
                  <c:v>49766</c:v>
                </c:pt>
              </c:numCache>
            </c:numRef>
          </c:cat>
          <c:val>
            <c:numRef>
              <c:f>Dashboard!$R$3:$R$122</c:f>
              <c:numCache>
                <c:formatCode>#,##0\ "SEK"</c:formatCode>
                <c:ptCount val="120"/>
                <c:pt idx="0">
                  <c:v>68579.302018558577</c:v>
                </c:pt>
                <c:pt idx="1">
                  <c:v>70661.855019233291</c:v>
                </c:pt>
                <c:pt idx="2">
                  <c:v>72748.697738112664</c:v>
                </c:pt>
                <c:pt idx="3">
                  <c:v>76654.715719010128</c:v>
                </c:pt>
                <c:pt idx="4">
                  <c:v>81073.950306460887</c:v>
                </c:pt>
                <c:pt idx="5">
                  <c:v>83173.715269498411</c:v>
                </c:pt>
                <c:pt idx="6">
                  <c:v>85277.805404564948</c:v>
                </c:pt>
                <c:pt idx="7">
                  <c:v>87386.229620806713</c:v>
                </c:pt>
                <c:pt idx="8">
                  <c:v>89498.996845721311</c:v>
                </c:pt>
                <c:pt idx="9">
                  <c:v>91616.116025195515</c:v>
                </c:pt>
                <c:pt idx="10">
                  <c:v>93737.59612354319</c:v>
                </c:pt>
                <c:pt idx="11">
                  <c:v>100783.44612354318</c:v>
                </c:pt>
                <c:pt idx="12">
                  <c:v>102913.67502647742</c:v>
                </c:pt>
                <c:pt idx="13">
                  <c:v>105048.29185216899</c:v>
                </c:pt>
                <c:pt idx="14">
                  <c:v>107187.30563902034</c:v>
                </c:pt>
                <c:pt idx="15">
                  <c:v>109330.72544405154</c:v>
                </c:pt>
                <c:pt idx="16">
                  <c:v>111478.56034293864</c:v>
                </c:pt>
                <c:pt idx="17">
                  <c:v>116744.01965249202</c:v>
                </c:pt>
                <c:pt idx="18">
                  <c:v>118900.71204093522</c:v>
                </c:pt>
                <c:pt idx="19">
                  <c:v>121061.84686258303</c:v>
                </c:pt>
                <c:pt idx="20">
                  <c:v>123227.43326812048</c:v>
                </c:pt>
                <c:pt idx="21">
                  <c:v>125397.48042708155</c:v>
                </c:pt>
                <c:pt idx="22">
                  <c:v>127571.99752788791</c:v>
                </c:pt>
                <c:pt idx="23">
                  <c:v>136317.4000278879</c:v>
                </c:pt>
                <c:pt idx="24">
                  <c:v>138500.88465339548</c:v>
                </c:pt>
                <c:pt idx="25">
                  <c:v>140688.86689972933</c:v>
                </c:pt>
                <c:pt idx="26">
                  <c:v>142881.35603125195</c:v>
                </c:pt>
                <c:pt idx="27">
                  <c:v>145078.36133140893</c:v>
                </c:pt>
                <c:pt idx="28">
                  <c:v>147279.89210276821</c:v>
                </c:pt>
                <c:pt idx="29">
                  <c:v>149485.9576670595</c:v>
                </c:pt>
                <c:pt idx="30">
                  <c:v>151696.56736521376</c:v>
                </c:pt>
                <c:pt idx="31">
                  <c:v>153911.73055740277</c:v>
                </c:pt>
                <c:pt idx="32">
                  <c:v>156131.45662307867</c:v>
                </c:pt>
                <c:pt idx="33">
                  <c:v>158355.75496101376</c:v>
                </c:pt>
                <c:pt idx="34">
                  <c:v>160584.63498934027</c:v>
                </c:pt>
                <c:pt idx="35">
                  <c:v>169548.67255184022</c:v>
                </c:pt>
                <c:pt idx="36">
                  <c:v>171786.7442929855</c:v>
                </c:pt>
                <c:pt idx="37">
                  <c:v>174029.42609547771</c:v>
                </c:pt>
                <c:pt idx="38">
                  <c:v>176276.7274552884</c:v>
                </c:pt>
                <c:pt idx="39">
                  <c:v>178528.65788794929</c:v>
                </c:pt>
                <c:pt idx="40">
                  <c:v>180785.22692859254</c:v>
                </c:pt>
                <c:pt idx="41">
                  <c:v>183046.44413199113</c:v>
                </c:pt>
                <c:pt idx="42">
                  <c:v>185312.31907259926</c:v>
                </c:pt>
                <c:pt idx="43">
                  <c:v>187582.861344593</c:v>
                </c:pt>
                <c:pt idx="44">
                  <c:v>189858.08056191079</c:v>
                </c:pt>
                <c:pt idx="45">
                  <c:v>192137.98635829423</c:v>
                </c:pt>
                <c:pt idx="46">
                  <c:v>194422.5883873289</c:v>
                </c:pt>
                <c:pt idx="47">
                  <c:v>205818.35267014132</c:v>
                </c:pt>
                <c:pt idx="48">
                  <c:v>208112.37620481523</c:v>
                </c:pt>
                <c:pt idx="49">
                  <c:v>210411.12505236972</c:v>
                </c:pt>
                <c:pt idx="50">
                  <c:v>212714.60894617569</c:v>
                </c:pt>
                <c:pt idx="51">
                  <c:v>215022.83763965312</c:v>
                </c:pt>
                <c:pt idx="52">
                  <c:v>217335.82090631247</c:v>
                </c:pt>
                <c:pt idx="53">
                  <c:v>219653.56853979599</c:v>
                </c:pt>
                <c:pt idx="54">
                  <c:v>221976.09035391931</c:v>
                </c:pt>
                <c:pt idx="55">
                  <c:v>224303.39618271287</c:v>
                </c:pt>
                <c:pt idx="56">
                  <c:v>226635.4958804636</c:v>
                </c:pt>
                <c:pt idx="57">
                  <c:v>228972.39932175665</c:v>
                </c:pt>
                <c:pt idx="58">
                  <c:v>231314.11640151718</c:v>
                </c:pt>
                <c:pt idx="59">
                  <c:v>235074.91730116558</c:v>
                </c:pt>
                <c:pt idx="60">
                  <c:v>237426.29142420634</c:v>
                </c:pt>
                <c:pt idx="61">
                  <c:v>239782.5089929497</c:v>
                </c:pt>
                <c:pt idx="62">
                  <c:v>242143.5799841008</c:v>
                </c:pt>
                <c:pt idx="63">
                  <c:v>244509.51439491514</c:v>
                </c:pt>
                <c:pt idx="64">
                  <c:v>246880.32224324095</c:v>
                </c:pt>
                <c:pt idx="65">
                  <c:v>249256.01356756157</c:v>
                </c:pt>
                <c:pt idx="66">
                  <c:v>251636.59842703797</c:v>
                </c:pt>
                <c:pt idx="67">
                  <c:v>254022.08690155137</c:v>
                </c:pt>
                <c:pt idx="68">
                  <c:v>256412.48909174587</c:v>
                </c:pt>
                <c:pt idx="69">
                  <c:v>258807.81511907122</c:v>
                </c:pt>
                <c:pt idx="70">
                  <c:v>261208.07512582577</c:v>
                </c:pt>
                <c:pt idx="71">
                  <c:v>265062.89604796539</c:v>
                </c:pt>
                <c:pt idx="72">
                  <c:v>267473.05452408217</c:v>
                </c:pt>
                <c:pt idx="73">
                  <c:v>269888.17753204412</c:v>
                </c:pt>
                <c:pt idx="74">
                  <c:v>272308.275297974</c:v>
                </c:pt>
                <c:pt idx="75">
                  <c:v>274733.35806905868</c:v>
                </c:pt>
                <c:pt idx="76">
                  <c:v>277163.43611359264</c:v>
                </c:pt>
                <c:pt idx="77">
                  <c:v>279598.51972102129</c:v>
                </c:pt>
                <c:pt idx="78">
                  <c:v>282038.61920198461</c:v>
                </c:pt>
                <c:pt idx="79">
                  <c:v>294504.75179973879</c:v>
                </c:pt>
                <c:pt idx="80">
                  <c:v>296954.91404468816</c:v>
                </c:pt>
                <c:pt idx="81">
                  <c:v>299410.12322269665</c:v>
                </c:pt>
                <c:pt idx="82">
                  <c:v>301870.38972962007</c:v>
                </c:pt>
                <c:pt idx="83">
                  <c:v>305821.58117481315</c:v>
                </c:pt>
                <c:pt idx="84">
                  <c:v>308291.99361283286</c:v>
                </c:pt>
                <c:pt idx="85">
                  <c:v>310767.49469599384</c:v>
                </c:pt>
                <c:pt idx="86">
                  <c:v>313248.09490607196</c:v>
                </c:pt>
                <c:pt idx="87">
                  <c:v>315733.8047464338</c:v>
                </c:pt>
                <c:pt idx="88">
                  <c:v>318224.63474208111</c:v>
                </c:pt>
                <c:pt idx="89">
                  <c:v>320720.59543969546</c:v>
                </c:pt>
                <c:pt idx="90">
                  <c:v>323221.69740768283</c:v>
                </c:pt>
                <c:pt idx="91">
                  <c:v>325727.95123621845</c:v>
                </c:pt>
                <c:pt idx="92">
                  <c:v>328239.36753729155</c:v>
                </c:pt>
                <c:pt idx="93">
                  <c:v>330755.95694475027</c:v>
                </c:pt>
                <c:pt idx="94">
                  <c:v>333277.73011434678</c:v>
                </c:pt>
                <c:pt idx="95">
                  <c:v>337327.70134566969</c:v>
                </c:pt>
                <c:pt idx="96">
                  <c:v>339859.87409463985</c:v>
                </c:pt>
                <c:pt idx="97">
                  <c:v>342397.26270487986</c:v>
                </c:pt>
                <c:pt idx="98">
                  <c:v>344939.87792020995</c:v>
                </c:pt>
                <c:pt idx="99">
                  <c:v>347487.73050658079</c:v>
                </c:pt>
                <c:pt idx="100">
                  <c:v>350040.83125211927</c:v>
                </c:pt>
                <c:pt idx="101">
                  <c:v>352599.19096717396</c:v>
                </c:pt>
                <c:pt idx="102">
                  <c:v>355162.82048436103</c:v>
                </c:pt>
                <c:pt idx="103">
                  <c:v>357731.73065861006</c:v>
                </c:pt>
                <c:pt idx="104">
                  <c:v>360305.93236720999</c:v>
                </c:pt>
                <c:pt idx="105">
                  <c:v>362885.43650985515</c:v>
                </c:pt>
                <c:pt idx="106">
                  <c:v>365470.25400869153</c:v>
                </c:pt>
                <c:pt idx="107">
                  <c:v>369621.47452079749</c:v>
                </c:pt>
                <c:pt idx="108">
                  <c:v>372216.95158849191</c:v>
                </c:pt>
                <c:pt idx="109">
                  <c:v>374817.7749139879</c:v>
                </c:pt>
                <c:pt idx="110">
                  <c:v>377423.95550970122</c:v>
                </c:pt>
                <c:pt idx="111">
                  <c:v>380035.50441073137</c:v>
                </c:pt>
                <c:pt idx="112">
                  <c:v>382652.43267490831</c:v>
                </c:pt>
                <c:pt idx="113">
                  <c:v>385274.7513828394</c:v>
                </c:pt>
                <c:pt idx="114">
                  <c:v>387902.47163795616</c:v>
                </c:pt>
                <c:pt idx="115">
                  <c:v>390535.60456656141</c:v>
                </c:pt>
                <c:pt idx="116">
                  <c:v>393174.16131787631</c:v>
                </c:pt>
                <c:pt idx="117">
                  <c:v>395818.15306408762</c:v>
                </c:pt>
                <c:pt idx="118">
                  <c:v>398467.5910003949</c:v>
                </c:pt>
                <c:pt idx="119">
                  <c:v>402722.59202530351</c:v>
                </c:pt>
              </c:numCache>
            </c:numRef>
          </c:val>
          <c:smooth val="0"/>
          <c:extLst>
            <c:ext xmlns:c16="http://schemas.microsoft.com/office/drawing/2014/chart" uri="{C3380CC4-5D6E-409C-BE32-E72D297353CC}">
              <c16:uniqueId val="{00000000-783C-487C-BB21-66D4DC7BEA0F}"/>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mmm\ yyyy" sourceLinked="1"/>
        <c:majorTickMark val="none"/>
        <c:minorTickMark val="none"/>
        <c:tickLblPos val="nextTo"/>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 &quot;SEK&quot;"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Breakdown by category</a:t>
            </a:r>
          </a:p>
        </c:rich>
      </c:tx>
      <c:overlay val="0"/>
    </c:title>
    <c:autoTitleDeleted val="0"/>
    <c:plotArea>
      <c:layout/>
      <c:barChart>
        <c:barDir val="col"/>
        <c:grouping val="clustered"/>
        <c:varyColors val="0"/>
        <c:ser>
          <c:idx val="0"/>
          <c:order val="0"/>
          <c:tx>
            <c:v>Cost</c:v>
          </c:tx>
          <c:invertIfNegative val="1"/>
          <c:cat>
            <c:strRef>
              <c:f>Dashboard!$X$3:$X$7</c:f>
              <c:strCache>
                <c:ptCount val="5"/>
                <c:pt idx="0">
                  <c:v>Purchase price</c:v>
                </c:pt>
                <c:pt idx="1">
                  <c:v>Fuel</c:v>
                </c:pt>
                <c:pt idx="2">
                  <c:v>Insurance</c:v>
                </c:pt>
                <c:pt idx="3">
                  <c:v>Tax</c:v>
                </c:pt>
                <c:pt idx="4">
                  <c:v>Maintenance</c:v>
                </c:pt>
              </c:strCache>
            </c:strRef>
          </c:cat>
          <c:val>
            <c:numRef>
              <c:f>Dashboard!$Y$3:$Y$7</c:f>
              <c:numCache>
                <c:formatCode>#,##0\ "SEK"</c:formatCode>
                <c:ptCount val="5"/>
                <c:pt idx="0">
                  <c:v>66000</c:v>
                </c:pt>
                <c:pt idx="1">
                  <c:v>159417.48751176943</c:v>
                </c:pt>
                <c:pt idx="2">
                  <c:v>123173.85359883717</c:v>
                </c:pt>
                <c:pt idx="3">
                  <c:v>14354.332890063226</c:v>
                </c:pt>
                <c:pt idx="4">
                  <c:v>39776.918024633713</c:v>
                </c:pt>
              </c:numCache>
            </c:numRef>
          </c:val>
          <c:extLst>
            <c:ext xmlns:c16="http://schemas.microsoft.com/office/drawing/2014/chart" uri="{C3380CC4-5D6E-409C-BE32-E72D297353CC}">
              <c16:uniqueId val="{00000000-1341-442C-BEDC-40B10472C48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quot;SEK&quot;"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Cumulative discounted cost</a:t>
            </a:r>
          </a:p>
        </c:rich>
      </c:tx>
      <c:overlay val="0"/>
    </c:title>
    <c:autoTitleDeleted val="0"/>
    <c:plotArea>
      <c:layout/>
      <c:lineChart>
        <c:grouping val="standard"/>
        <c:varyColors val="1"/>
        <c:ser>
          <c:idx val="0"/>
          <c:order val="0"/>
          <c:tx>
            <c:v>Cumulative discounted cost</c:v>
          </c:tx>
          <c:cat>
            <c:numRef>
              <c:f>Dashboard!$AA$3:$AA$122</c:f>
              <c:numCache>
                <c:formatCode>mmm\ yyyy</c:formatCode>
                <c:ptCount val="120"/>
                <c:pt idx="0">
                  <c:v>46143</c:v>
                </c:pt>
                <c:pt idx="1">
                  <c:v>46174</c:v>
                </c:pt>
                <c:pt idx="2">
                  <c:v>46204</c:v>
                </c:pt>
                <c:pt idx="3">
                  <c:v>46235</c:v>
                </c:pt>
                <c:pt idx="4">
                  <c:v>46266</c:v>
                </c:pt>
                <c:pt idx="5">
                  <c:v>46296</c:v>
                </c:pt>
                <c:pt idx="6">
                  <c:v>46327</c:v>
                </c:pt>
                <c:pt idx="7">
                  <c:v>46357</c:v>
                </c:pt>
                <c:pt idx="8">
                  <c:v>46388</c:v>
                </c:pt>
                <c:pt idx="9">
                  <c:v>46419</c:v>
                </c:pt>
                <c:pt idx="10">
                  <c:v>46447</c:v>
                </c:pt>
                <c:pt idx="11">
                  <c:v>46478</c:v>
                </c:pt>
                <c:pt idx="12">
                  <c:v>46508</c:v>
                </c:pt>
                <c:pt idx="13">
                  <c:v>46539</c:v>
                </c:pt>
                <c:pt idx="14">
                  <c:v>46569</c:v>
                </c:pt>
                <c:pt idx="15">
                  <c:v>46600</c:v>
                </c:pt>
                <c:pt idx="16">
                  <c:v>46631</c:v>
                </c:pt>
                <c:pt idx="17">
                  <c:v>46661</c:v>
                </c:pt>
                <c:pt idx="18">
                  <c:v>46692</c:v>
                </c:pt>
                <c:pt idx="19">
                  <c:v>46722</c:v>
                </c:pt>
                <c:pt idx="20">
                  <c:v>46753</c:v>
                </c:pt>
                <c:pt idx="21">
                  <c:v>46784</c:v>
                </c:pt>
                <c:pt idx="22">
                  <c:v>46813</c:v>
                </c:pt>
                <c:pt idx="23">
                  <c:v>46844</c:v>
                </c:pt>
                <c:pt idx="24">
                  <c:v>46874</c:v>
                </c:pt>
                <c:pt idx="25">
                  <c:v>46905</c:v>
                </c:pt>
                <c:pt idx="26">
                  <c:v>46935</c:v>
                </c:pt>
                <c:pt idx="27">
                  <c:v>46966</c:v>
                </c:pt>
                <c:pt idx="28">
                  <c:v>46997</c:v>
                </c:pt>
                <c:pt idx="29">
                  <c:v>47027</c:v>
                </c:pt>
                <c:pt idx="30">
                  <c:v>47058</c:v>
                </c:pt>
                <c:pt idx="31">
                  <c:v>47088</c:v>
                </c:pt>
                <c:pt idx="32">
                  <c:v>47119</c:v>
                </c:pt>
                <c:pt idx="33">
                  <c:v>47150</c:v>
                </c:pt>
                <c:pt idx="34">
                  <c:v>47178</c:v>
                </c:pt>
                <c:pt idx="35">
                  <c:v>47209</c:v>
                </c:pt>
                <c:pt idx="36">
                  <c:v>47239</c:v>
                </c:pt>
                <c:pt idx="37">
                  <c:v>47270</c:v>
                </c:pt>
                <c:pt idx="38">
                  <c:v>47300</c:v>
                </c:pt>
                <c:pt idx="39">
                  <c:v>47331</c:v>
                </c:pt>
                <c:pt idx="40">
                  <c:v>47362</c:v>
                </c:pt>
                <c:pt idx="41">
                  <c:v>47392</c:v>
                </c:pt>
                <c:pt idx="42">
                  <c:v>47423</c:v>
                </c:pt>
                <c:pt idx="43">
                  <c:v>47453</c:v>
                </c:pt>
                <c:pt idx="44">
                  <c:v>47484</c:v>
                </c:pt>
                <c:pt idx="45">
                  <c:v>47515</c:v>
                </c:pt>
                <c:pt idx="46">
                  <c:v>47543</c:v>
                </c:pt>
                <c:pt idx="47">
                  <c:v>47574</c:v>
                </c:pt>
                <c:pt idx="48">
                  <c:v>47604</c:v>
                </c:pt>
                <c:pt idx="49">
                  <c:v>47635</c:v>
                </c:pt>
                <c:pt idx="50">
                  <c:v>47665</c:v>
                </c:pt>
                <c:pt idx="51">
                  <c:v>47696</c:v>
                </c:pt>
                <c:pt idx="52">
                  <c:v>47727</c:v>
                </c:pt>
                <c:pt idx="53">
                  <c:v>47757</c:v>
                </c:pt>
                <c:pt idx="54">
                  <c:v>47788</c:v>
                </c:pt>
                <c:pt idx="55">
                  <c:v>47818</c:v>
                </c:pt>
                <c:pt idx="56">
                  <c:v>47849</c:v>
                </c:pt>
                <c:pt idx="57">
                  <c:v>47880</c:v>
                </c:pt>
                <c:pt idx="58">
                  <c:v>47908</c:v>
                </c:pt>
                <c:pt idx="59">
                  <c:v>47939</c:v>
                </c:pt>
                <c:pt idx="60">
                  <c:v>47969</c:v>
                </c:pt>
                <c:pt idx="61">
                  <c:v>48000</c:v>
                </c:pt>
                <c:pt idx="62">
                  <c:v>48030</c:v>
                </c:pt>
                <c:pt idx="63">
                  <c:v>48061</c:v>
                </c:pt>
                <c:pt idx="64">
                  <c:v>48092</c:v>
                </c:pt>
                <c:pt idx="65">
                  <c:v>48122</c:v>
                </c:pt>
                <c:pt idx="66">
                  <c:v>48153</c:v>
                </c:pt>
                <c:pt idx="67">
                  <c:v>48183</c:v>
                </c:pt>
                <c:pt idx="68">
                  <c:v>48214</c:v>
                </c:pt>
                <c:pt idx="69">
                  <c:v>48245</c:v>
                </c:pt>
                <c:pt idx="70">
                  <c:v>48274</c:v>
                </c:pt>
                <c:pt idx="71">
                  <c:v>48305</c:v>
                </c:pt>
                <c:pt idx="72">
                  <c:v>48335</c:v>
                </c:pt>
                <c:pt idx="73">
                  <c:v>48366</c:v>
                </c:pt>
                <c:pt idx="74">
                  <c:v>48396</c:v>
                </c:pt>
                <c:pt idx="75">
                  <c:v>48427</c:v>
                </c:pt>
                <c:pt idx="76">
                  <c:v>48458</c:v>
                </c:pt>
                <c:pt idx="77">
                  <c:v>48488</c:v>
                </c:pt>
                <c:pt idx="78">
                  <c:v>48519</c:v>
                </c:pt>
                <c:pt idx="79">
                  <c:v>48549</c:v>
                </c:pt>
                <c:pt idx="80">
                  <c:v>48580</c:v>
                </c:pt>
                <c:pt idx="81">
                  <c:v>48611</c:v>
                </c:pt>
                <c:pt idx="82">
                  <c:v>48639</c:v>
                </c:pt>
                <c:pt idx="83">
                  <c:v>48670</c:v>
                </c:pt>
                <c:pt idx="84">
                  <c:v>48700</c:v>
                </c:pt>
                <c:pt idx="85">
                  <c:v>48731</c:v>
                </c:pt>
                <c:pt idx="86">
                  <c:v>48761</c:v>
                </c:pt>
                <c:pt idx="87">
                  <c:v>48792</c:v>
                </c:pt>
                <c:pt idx="88">
                  <c:v>48823</c:v>
                </c:pt>
                <c:pt idx="89">
                  <c:v>48853</c:v>
                </c:pt>
                <c:pt idx="90">
                  <c:v>48884</c:v>
                </c:pt>
                <c:pt idx="91">
                  <c:v>48914</c:v>
                </c:pt>
                <c:pt idx="92">
                  <c:v>48945</c:v>
                </c:pt>
                <c:pt idx="93">
                  <c:v>48976</c:v>
                </c:pt>
                <c:pt idx="94">
                  <c:v>49004</c:v>
                </c:pt>
                <c:pt idx="95">
                  <c:v>49035</c:v>
                </c:pt>
                <c:pt idx="96">
                  <c:v>49065</c:v>
                </c:pt>
                <c:pt idx="97">
                  <c:v>49096</c:v>
                </c:pt>
                <c:pt idx="98">
                  <c:v>49126</c:v>
                </c:pt>
                <c:pt idx="99">
                  <c:v>49157</c:v>
                </c:pt>
                <c:pt idx="100">
                  <c:v>49188</c:v>
                </c:pt>
                <c:pt idx="101">
                  <c:v>49218</c:v>
                </c:pt>
                <c:pt idx="102">
                  <c:v>49249</c:v>
                </c:pt>
                <c:pt idx="103">
                  <c:v>49279</c:v>
                </c:pt>
                <c:pt idx="104">
                  <c:v>49310</c:v>
                </c:pt>
                <c:pt idx="105">
                  <c:v>49341</c:v>
                </c:pt>
                <c:pt idx="106">
                  <c:v>49369</c:v>
                </c:pt>
                <c:pt idx="107">
                  <c:v>49400</c:v>
                </c:pt>
                <c:pt idx="108">
                  <c:v>49430</c:v>
                </c:pt>
                <c:pt idx="109">
                  <c:v>49461</c:v>
                </c:pt>
                <c:pt idx="110">
                  <c:v>49491</c:v>
                </c:pt>
                <c:pt idx="111">
                  <c:v>49522</c:v>
                </c:pt>
                <c:pt idx="112">
                  <c:v>49553</c:v>
                </c:pt>
                <c:pt idx="113">
                  <c:v>49583</c:v>
                </c:pt>
                <c:pt idx="114">
                  <c:v>49614</c:v>
                </c:pt>
                <c:pt idx="115">
                  <c:v>49644</c:v>
                </c:pt>
                <c:pt idx="116">
                  <c:v>49675</c:v>
                </c:pt>
                <c:pt idx="117">
                  <c:v>49706</c:v>
                </c:pt>
                <c:pt idx="118">
                  <c:v>49735</c:v>
                </c:pt>
                <c:pt idx="119">
                  <c:v>49766</c:v>
                </c:pt>
              </c:numCache>
            </c:numRef>
          </c:cat>
          <c:val>
            <c:numRef>
              <c:f>Dashboard!$AB$3:$AB$122</c:f>
              <c:numCache>
                <c:formatCode>#,##0\ "SEK"</c:formatCode>
                <c:ptCount val="120"/>
                <c:pt idx="0">
                  <c:v>68568.836261648699</c:v>
                </c:pt>
                <c:pt idx="1">
                  <c:v>70634.523246103912</c:v>
                </c:pt>
                <c:pt idx="2">
                  <c:v>72696.066226245443</c:v>
                </c:pt>
                <c:pt idx="3">
                  <c:v>76539.072898502709</c:v>
                </c:pt>
                <c:pt idx="4">
                  <c:v>80869.374856163646</c:v>
                </c:pt>
                <c:pt idx="5">
                  <c:v>82918.535636766741</c:v>
                </c:pt>
                <c:pt idx="6">
                  <c:v>84963.585566510941</c:v>
                </c:pt>
                <c:pt idx="7">
                  <c:v>87004.532892233168</c:v>
                </c:pt>
                <c:pt idx="8">
                  <c:v>89041.385844226257</c:v>
                </c:pt>
                <c:pt idx="9">
                  <c:v>91074.152636272105</c:v>
                </c:pt>
                <c:pt idx="10">
                  <c:v>93102.84146567485</c:v>
                </c:pt>
                <c:pt idx="11">
                  <c:v>99813.174799008164</c:v>
                </c:pt>
                <c:pt idx="12">
                  <c:v>101833.73222929117</c:v>
                </c:pt>
                <c:pt idx="13">
                  <c:v>103850.23619030697</c:v>
                </c:pt>
                <c:pt idx="14">
                  <c:v>105862.69481377846</c:v>
                </c:pt>
                <c:pt idx="15">
                  <c:v>107871.11621511537</c:v>
                </c:pt>
                <c:pt idx="16">
                  <c:v>109875.50849344696</c:v>
                </c:pt>
                <c:pt idx="17">
                  <c:v>114769.37718325712</c:v>
                </c:pt>
                <c:pt idx="18">
                  <c:v>116765.73544800741</c:v>
                </c:pt>
                <c:pt idx="19">
                  <c:v>118758.08878978387</c:v>
                </c:pt>
                <c:pt idx="20">
                  <c:v>120746.44524291997</c:v>
                </c:pt>
                <c:pt idx="21">
                  <c:v>122730.81282563139</c:v>
                </c:pt>
                <c:pt idx="22">
                  <c:v>124711.19954004836</c:v>
                </c:pt>
                <c:pt idx="23">
                  <c:v>132643.53740852905</c:v>
                </c:pt>
                <c:pt idx="24">
                  <c:v>134615.9863285672</c:v>
                </c:pt>
                <c:pt idx="25">
                  <c:v>136584.47829051121</c:v>
                </c:pt>
                <c:pt idx="26">
                  <c:v>138549.02123247145</c:v>
                </c:pt>
                <c:pt idx="27">
                  <c:v>140509.62307663367</c:v>
                </c:pt>
                <c:pt idx="28">
                  <c:v>142466.29172929068</c:v>
                </c:pt>
                <c:pt idx="29">
                  <c:v>144419.03508087446</c:v>
                </c:pt>
                <c:pt idx="30">
                  <c:v>146367.86100598783</c:v>
                </c:pt>
                <c:pt idx="31">
                  <c:v>148312.77736343627</c:v>
                </c:pt>
                <c:pt idx="32">
                  <c:v>150253.79199625959</c:v>
                </c:pt>
                <c:pt idx="33">
                  <c:v>152190.91273176359</c:v>
                </c:pt>
                <c:pt idx="34">
                  <c:v>154124.14738155156</c:v>
                </c:pt>
                <c:pt idx="35">
                  <c:v>161867.62006268746</c:v>
                </c:pt>
                <c:pt idx="36">
                  <c:v>163793.10591320091</c:v>
                </c:pt>
                <c:pt idx="37">
                  <c:v>165714.72901890814</c:v>
                </c:pt>
                <c:pt idx="38">
                  <c:v>167632.49712891696</c:v>
                </c:pt>
                <c:pt idx="39">
                  <c:v>169546.41797678958</c:v>
                </c:pt>
                <c:pt idx="40">
                  <c:v>171456.49928057383</c:v>
                </c:pt>
                <c:pt idx="41">
                  <c:v>173362.74874283417</c:v>
                </c:pt>
                <c:pt idx="42">
                  <c:v>175265.17405068292</c:v>
                </c:pt>
                <c:pt idx="43">
                  <c:v>177163.78287581116</c:v>
                </c:pt>
                <c:pt idx="44">
                  <c:v>179058.58287451963</c:v>
                </c:pt>
                <c:pt idx="45">
                  <c:v>180949.58168774971</c:v>
                </c:pt>
                <c:pt idx="46">
                  <c:v>182836.78694111417</c:v>
                </c:pt>
                <c:pt idx="47">
                  <c:v>192212.11041872884</c:v>
                </c:pt>
                <c:pt idx="48">
                  <c:v>194091.75136803958</c:v>
                </c:pt>
                <c:pt idx="49">
                  <c:v>195967.62154265854</c:v>
                </c:pt>
                <c:pt idx="50">
                  <c:v>197839.72850719094</c:v>
                </c:pt>
                <c:pt idx="51">
                  <c:v>199708.07981106659</c:v>
                </c:pt>
                <c:pt idx="52">
                  <c:v>201572.68298857025</c:v>
                </c:pt>
                <c:pt idx="53">
                  <c:v>203433.54555887202</c:v>
                </c:pt>
                <c:pt idx="54">
                  <c:v>205290.67502605772</c:v>
                </c:pt>
                <c:pt idx="55">
                  <c:v>207144.07887915909</c:v>
                </c:pt>
                <c:pt idx="56">
                  <c:v>208993.76459218404</c:v>
                </c:pt>
                <c:pt idx="57">
                  <c:v>210839.73962414675</c:v>
                </c:pt>
                <c:pt idx="58">
                  <c:v>212682.01141909775</c:v>
                </c:pt>
                <c:pt idx="59">
                  <c:v>215628.69733085038</c:v>
                </c:pt>
                <c:pt idx="60">
                  <c:v>217463.58492422514</c:v>
                </c:pt>
                <c:pt idx="61">
                  <c:v>219294.79152325791</c:v>
                </c:pt>
                <c:pt idx="62">
                  <c:v>221122.32451244432</c:v>
                </c:pt>
                <c:pt idx="63">
                  <c:v>222946.19126146578</c:v>
                </c:pt>
                <c:pt idx="64">
                  <c:v>224766.39912521932</c:v>
                </c:pt>
                <c:pt idx="65">
                  <c:v>226582.95544384723</c:v>
                </c:pt>
                <c:pt idx="66">
                  <c:v>228395.86754276659</c:v>
                </c:pt>
                <c:pt idx="67">
                  <c:v>230205.14273269888</c:v>
                </c:pt>
                <c:pt idx="68">
                  <c:v>232010.78830969942</c:v>
                </c:pt>
                <c:pt idx="69">
                  <c:v>233812.81155518681</c:v>
                </c:pt>
                <c:pt idx="70">
                  <c:v>235611.21973597232</c:v>
                </c:pt>
                <c:pt idx="71">
                  <c:v>238487.74645934987</c:v>
                </c:pt>
                <c:pt idx="72">
                  <c:v>240278.94625288236</c:v>
                </c:pt>
                <c:pt idx="73">
                  <c:v>242066.5526947953</c:v>
                </c:pt>
                <c:pt idx="74">
                  <c:v>243850.57299376297</c:v>
                </c:pt>
                <c:pt idx="75">
                  <c:v>245631.01434399819</c:v>
                </c:pt>
                <c:pt idx="76">
                  <c:v>247407.88392528144</c:v>
                </c:pt>
                <c:pt idx="77">
                  <c:v>249181.18890298964</c:v>
                </c:pt>
                <c:pt idx="78">
                  <c:v>250950.93642812519</c:v>
                </c:pt>
                <c:pt idx="79">
                  <c:v>259955.64678988417</c:v>
                </c:pt>
                <c:pt idx="80">
                  <c:v>261718.30080552754</c:v>
                </c:pt>
                <c:pt idx="81">
                  <c:v>263477.41873564618</c:v>
                </c:pt>
                <c:pt idx="82">
                  <c:v>265233.00767403201</c:v>
                </c:pt>
                <c:pt idx="83">
                  <c:v>268041.04566590057</c:v>
                </c:pt>
                <c:pt idx="84">
                  <c:v>269789.59784530132</c:v>
                </c:pt>
                <c:pt idx="85">
                  <c:v>271534.64222907351</c:v>
                </c:pt>
                <c:pt idx="86">
                  <c:v>273276.18585425621</c:v>
                </c:pt>
                <c:pt idx="87">
                  <c:v>275014.23574377154</c:v>
                </c:pt>
                <c:pt idx="88">
                  <c:v>276748.79890645278</c:v>
                </c:pt>
                <c:pt idx="89">
                  <c:v>278479.88233707269</c:v>
                </c:pt>
                <c:pt idx="90">
                  <c:v>280207.49301637168</c:v>
                </c:pt>
                <c:pt idx="91">
                  <c:v>281931.63791108603</c:v>
                </c:pt>
                <c:pt idx="92">
                  <c:v>283652.32397397596</c:v>
                </c:pt>
                <c:pt idx="93">
                  <c:v>285369.55814385368</c:v>
                </c:pt>
                <c:pt idx="94">
                  <c:v>287083.34734561126</c:v>
                </c:pt>
                <c:pt idx="95">
                  <c:v>289824.52729005436</c:v>
                </c:pt>
                <c:pt idx="96">
                  <c:v>291531.44727470749</c:v>
                </c:pt>
                <c:pt idx="97">
                  <c:v>293234.94298267557</c:v>
                </c:pt>
                <c:pt idx="98">
                  <c:v>294935.0212834492</c:v>
                </c:pt>
                <c:pt idx="99">
                  <c:v>296631.68903273798</c:v>
                </c:pt>
                <c:pt idx="100">
                  <c:v>298324.95307249826</c:v>
                </c:pt>
                <c:pt idx="101">
                  <c:v>300014.82023096055</c:v>
                </c:pt>
                <c:pt idx="102">
                  <c:v>301701.29732265719</c:v>
                </c:pt>
                <c:pt idx="103">
                  <c:v>303384.39114844979</c:v>
                </c:pt>
                <c:pt idx="104">
                  <c:v>305064.10849555663</c:v>
                </c:pt>
                <c:pt idx="105">
                  <c:v>306740.4561375801</c:v>
                </c:pt>
                <c:pt idx="106">
                  <c:v>308413.44083453395</c:v>
                </c:pt>
                <c:pt idx="107">
                  <c:v>311089.35458982363</c:v>
                </c:pt>
                <c:pt idx="108">
                  <c:v>312755.63362246123</c:v>
                </c:pt>
                <c:pt idx="109">
                  <c:v>314418.56990881101</c:v>
                </c:pt>
                <c:pt idx="110">
                  <c:v>316078.17015480431</c:v>
                </c:pt>
                <c:pt idx="111">
                  <c:v>317734.44105291954</c:v>
                </c:pt>
                <c:pt idx="112">
                  <c:v>319387.38928220933</c:v>
                </c:pt>
                <c:pt idx="113">
                  <c:v>321037.02150832728</c:v>
                </c:pt>
                <c:pt idx="114">
                  <c:v>322683.34438355494</c:v>
                </c:pt>
                <c:pt idx="115">
                  <c:v>324326.36454682867</c:v>
                </c:pt>
                <c:pt idx="116">
                  <c:v>325966.08862376632</c:v>
                </c:pt>
                <c:pt idx="117">
                  <c:v>327602.52322669403</c:v>
                </c:pt>
                <c:pt idx="118">
                  <c:v>329235.67495467281</c:v>
                </c:pt>
                <c:pt idx="119">
                  <c:v>331847.87647769373</c:v>
                </c:pt>
              </c:numCache>
            </c:numRef>
          </c:val>
          <c:smooth val="0"/>
          <c:extLst>
            <c:ext xmlns:c16="http://schemas.microsoft.com/office/drawing/2014/chart" uri="{C3380CC4-5D6E-409C-BE32-E72D297353CC}">
              <c16:uniqueId val="{00000000-0FA7-465A-947D-58F80F1BBBC9}"/>
            </c:ext>
          </c:extLst>
        </c:ser>
        <c:dLbls>
          <c:showLegendKey val="0"/>
          <c:showVal val="0"/>
          <c:showCatName val="0"/>
          <c:showSerName val="0"/>
          <c:showPercent val="0"/>
          <c:showBubbleSize val="0"/>
        </c:dLbls>
        <c:marker val="1"/>
        <c:smooth val="0"/>
        <c:axId val="48650112"/>
        <c:axId val="48672768"/>
      </c:lineChart>
      <c:dateAx>
        <c:axId val="48650112"/>
        <c:scaling>
          <c:orientation val="minMax"/>
        </c:scaling>
        <c:delete val="0"/>
        <c:axPos val="b"/>
        <c:majorGridlines>
          <c:spPr>
            <a:ln w="9525">
              <a:solidFill>
                <a:srgbClr val="CCCCCC"/>
              </a:solidFill>
              <a:prstDash val="dash"/>
            </a:ln>
          </c:spPr>
        </c:majorGridlines>
        <c:numFmt formatCode="mmm\ yyyy" sourceLinked="1"/>
        <c:majorTickMark val="none"/>
        <c:minorTickMark val="none"/>
        <c:tickLblPos val="nextTo"/>
        <c:crossAx val="48672768"/>
        <c:crosses val="autoZero"/>
        <c:auto val="1"/>
        <c:lblOffset val="100"/>
        <c:baseTimeUnit val="months"/>
      </c:dateAx>
      <c:valAx>
        <c:axId val="48672768"/>
        <c:scaling>
          <c:orientation val="minMax"/>
        </c:scaling>
        <c:delete val="0"/>
        <c:axPos val="l"/>
        <c:majorGridlines>
          <c:spPr>
            <a:ln w="9525">
              <a:solidFill>
                <a:srgbClr val="CCCCCC"/>
              </a:solidFill>
              <a:prstDash val="dash"/>
            </a:ln>
          </c:spPr>
        </c:majorGridlines>
        <c:numFmt formatCode="#,##0\ &quot;SEK&quot;"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6</xdr:col>
      <xdr:colOff>0</xdr:colOff>
      <xdr:row>28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12</xdr:row>
      <xdr:rowOff>0</xdr:rowOff>
    </xdr:from>
    <xdr:to>
      <xdr:col>13</xdr:col>
      <xdr:colOff>0</xdr:colOff>
      <xdr:row>28</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6</xdr:col>
      <xdr:colOff>0</xdr:colOff>
      <xdr:row>44</xdr:row>
      <xdr:rowOff>0</xdr:rowOff>
    </xdr:to>
    <xdr:graphicFrame macro="">
      <xdr:nvGraphicFramePr>
        <xdr:cNvPr id="4" nam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29</xdr:row>
      <xdr:rowOff>0</xdr:rowOff>
    </xdr:from>
    <xdr:to>
      <xdr:col>13</xdr:col>
      <xdr:colOff>0</xdr:colOff>
      <xdr:row>44</xdr:row>
      <xdr:rowOff>0</xdr:rowOff>
    </xdr:to>
    <xdr:graphicFrame macro="">
      <xdr:nvGraphicFramePr>
        <xdr:cNvPr id="5" nam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intenanceTable" displayName="MaintenanceTable" ref="A5:J55" headerRowDxfId="13" dataDxfId="12" totalsRowDxfId="11">
  <tableColumns count="10">
    <tableColumn id="1" xr3:uid="{00000000-0010-0000-0000-000001000000}" name="Maintenance task" dataDxfId="10"/>
    <tableColumn id="2" xr3:uid="{00000000-0010-0000-0000-000002000000}" name="Task category" dataDxfId="9"/>
    <tableColumn id="3" xr3:uid="{00000000-0010-0000-0000-000003000000}" name="Estimated cost" dataDxfId="8"/>
    <tableColumn id="4" xr3:uid="{00000000-0010-0000-0000-000004000000}" name="First due in months" dataDxfId="7"/>
    <tableColumn id="5" xr3:uid="{00000000-0010-0000-0000-000005000000}" name="First due in km" dataDxfId="6"/>
    <tableColumn id="6" xr3:uid="{00000000-0010-0000-0000-000006000000}" name="Repeat every X months" dataDxfId="5"/>
    <tableColumn id="7" xr3:uid="{00000000-0010-0000-0000-000007000000}" name="Repeat every X km" dataDxfId="4"/>
    <tableColumn id="8" xr3:uid="{00000000-0010-0000-0000-000008000000}" name="Notes" dataDxfId="3"/>
    <tableColumn id="9" xr3:uid="{00000000-0010-0000-0000-000009000000}" name="Derived 1st month" dataDxfId="2"/>
    <tableColumn id="10" xr3:uid="{00000000-0010-0000-0000-00000A000000}" name="Derived repeat (months)" dataDxfId="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3"/>
  <sheetViews>
    <sheetView tabSelected="1" workbookViewId="0">
      <selection activeCell="I5" sqref="I5"/>
    </sheetView>
  </sheetViews>
  <sheetFormatPr defaultRowHeight="14.3"/>
  <cols>
    <col min="1" max="8" width="14" style="1" customWidth="1"/>
    <col min="9" max="9" width="8.88671875" style="1"/>
    <col min="10" max="10" width="22" style="1" customWidth="1"/>
    <col min="11" max="11" width="16" style="1" customWidth="1"/>
    <col min="12" max="12" width="12" style="1" customWidth="1"/>
    <col min="13" max="13" width="8.88671875" style="1"/>
    <col min="14" max="21" width="14" style="1" customWidth="1"/>
    <col min="22" max="24" width="8.88671875" style="1"/>
    <col min="25" max="25" width="9.5546875" style="1" bestFit="1" customWidth="1"/>
    <col min="26" max="26" width="8.88671875" style="1"/>
    <col min="27" max="27" width="9" style="1" bestFit="1" customWidth="1"/>
    <col min="28" max="28" width="9.5546875" style="1" bestFit="1" customWidth="1"/>
    <col min="29" max="16384" width="8.88671875" style="1"/>
  </cols>
  <sheetData>
    <row r="1" spans="1:28" ht="23.6" customHeight="1">
      <c r="A1" s="84" t="s">
        <v>0</v>
      </c>
      <c r="B1" s="85"/>
      <c r="C1" s="85"/>
      <c r="D1" s="85"/>
      <c r="E1" s="85"/>
      <c r="F1" s="85"/>
      <c r="G1" s="85"/>
      <c r="H1" s="85"/>
      <c r="I1" s="85"/>
      <c r="J1" s="85"/>
      <c r="K1" s="85"/>
      <c r="L1" s="85"/>
      <c r="M1" s="86"/>
    </row>
    <row r="2" spans="1:28" ht="19.899999999999999" customHeight="1" thickBot="1">
      <c r="A2" s="87" t="s">
        <v>1</v>
      </c>
      <c r="B2" s="88"/>
      <c r="C2" s="88"/>
      <c r="D2" s="88"/>
      <c r="E2" s="88"/>
      <c r="F2" s="88"/>
      <c r="G2" s="88"/>
      <c r="H2" s="88"/>
      <c r="I2" s="88"/>
      <c r="J2" s="88"/>
      <c r="K2" s="88"/>
      <c r="L2" s="88"/>
      <c r="M2" s="89"/>
      <c r="N2" s="1" t="s">
        <v>2</v>
      </c>
      <c r="O2" s="1" t="s">
        <v>3</v>
      </c>
      <c r="Q2" s="1" t="s">
        <v>2</v>
      </c>
      <c r="R2" s="1" t="s">
        <v>4</v>
      </c>
      <c r="X2" s="1" t="s">
        <v>5</v>
      </c>
      <c r="Y2" s="1" t="s">
        <v>6</v>
      </c>
      <c r="AA2" s="1" t="s">
        <v>2</v>
      </c>
      <c r="AB2" s="1" t="s">
        <v>7</v>
      </c>
    </row>
    <row r="3" spans="1:28" ht="19.899999999999999" customHeight="1" thickBot="1">
      <c r="A3" s="2"/>
      <c r="B3" s="3"/>
      <c r="C3" s="3"/>
      <c r="D3" s="3"/>
      <c r="E3" s="3"/>
      <c r="F3" s="3"/>
      <c r="G3" s="3"/>
      <c r="H3" s="3"/>
      <c r="I3" s="3"/>
      <c r="J3" s="3"/>
      <c r="K3" s="3"/>
      <c r="L3" s="3"/>
      <c r="M3" s="4"/>
      <c r="N3" s="5">
        <f ca="1">Cashflow!B7</f>
        <v>46143</v>
      </c>
      <c r="O3" s="6">
        <f>-Cashflow!I7</f>
        <v>2579.3020185585751</v>
      </c>
      <c r="Q3" s="5">
        <f ca="1">Cashflow!B7</f>
        <v>46143</v>
      </c>
      <c r="R3" s="6">
        <f>Cashflow!L7</f>
        <v>68579.302018558577</v>
      </c>
      <c r="U3" s="6"/>
      <c r="X3" s="1" t="s">
        <v>8</v>
      </c>
      <c r="Y3" s="6">
        <f>Inputs!$B$4</f>
        <v>66000</v>
      </c>
      <c r="AA3" s="5">
        <f ca="1">Cashflow!B7</f>
        <v>46143</v>
      </c>
      <c r="AB3" s="6">
        <f>Cashflow!M7</f>
        <v>68568.836261648699</v>
      </c>
    </row>
    <row r="4" spans="1:28" ht="19.899999999999999" customHeight="1" thickBot="1">
      <c r="A4" s="90" t="s">
        <v>9</v>
      </c>
      <c r="B4" s="91"/>
      <c r="C4" s="91" t="s">
        <v>10</v>
      </c>
      <c r="D4" s="91"/>
      <c r="E4" s="91" t="s">
        <v>11</v>
      </c>
      <c r="F4" s="91"/>
      <c r="G4" s="91" t="s">
        <v>12</v>
      </c>
      <c r="H4" s="98"/>
      <c r="I4" s="7"/>
      <c r="J4" s="78" t="s">
        <v>13</v>
      </c>
      <c r="K4" s="79"/>
      <c r="L4" s="79"/>
      <c r="M4" s="80"/>
      <c r="N4" s="5">
        <f ca="1">Cashflow!B8</f>
        <v>46174</v>
      </c>
      <c r="O4" s="6">
        <f>-Cashflow!I8</f>
        <v>2082.5530006747085</v>
      </c>
      <c r="Q4" s="5">
        <f ca="1">Cashflow!B8</f>
        <v>46174</v>
      </c>
      <c r="R4" s="6">
        <f>Cashflow!L8</f>
        <v>70661.855019233291</v>
      </c>
      <c r="U4" s="6"/>
      <c r="X4" s="1" t="s">
        <v>14</v>
      </c>
      <c r="Y4" s="6">
        <f>-SUM(Cashflow!$E$6:$E$126)</f>
        <v>159417.48751176943</v>
      </c>
      <c r="AA4" s="5">
        <f ca="1">Cashflow!B8</f>
        <v>46174</v>
      </c>
      <c r="AB4" s="6">
        <f>Cashflow!M8</f>
        <v>70634.523246103912</v>
      </c>
    </row>
    <row r="5" spans="1:28">
      <c r="A5" s="82">
        <f>Inputs!$B$4</f>
        <v>66000</v>
      </c>
      <c r="B5" s="74"/>
      <c r="C5" s="74">
        <f>-SUM(Cashflow!$I$6:$I$126)</f>
        <v>402722.59202530351</v>
      </c>
      <c r="D5" s="74"/>
      <c r="E5" s="92">
        <f>-SUM(Cashflow!$K$6:$K$126)</f>
        <v>331847.87647769373</v>
      </c>
      <c r="F5" s="93"/>
      <c r="G5" s="74">
        <f>C5/Inputs!$B$21</f>
        <v>3356.0216002108627</v>
      </c>
      <c r="H5" s="75"/>
      <c r="J5" s="8" t="s">
        <v>15</v>
      </c>
      <c r="K5" s="9">
        <f>Inputs!$B$7</f>
        <v>1200</v>
      </c>
      <c r="L5" s="10" t="s">
        <v>16</v>
      </c>
      <c r="M5" s="11"/>
      <c r="N5" s="5">
        <f ca="1">Cashflow!B9</f>
        <v>46204</v>
      </c>
      <c r="O5" s="6">
        <f>-Cashflow!I9</f>
        <v>2086.8427188793685</v>
      </c>
      <c r="Q5" s="5">
        <f ca="1">Cashflow!B9</f>
        <v>46204</v>
      </c>
      <c r="R5" s="6">
        <f>Cashflow!L9</f>
        <v>72748.697738112664</v>
      </c>
      <c r="U5" s="6"/>
      <c r="X5" s="1" t="s">
        <v>17</v>
      </c>
      <c r="Y5" s="6">
        <f>-SUM(Cashflow!$F$6:$F$126)</f>
        <v>123173.85359883717</v>
      </c>
      <c r="AA5" s="5">
        <f ca="1">Cashflow!B9</f>
        <v>46204</v>
      </c>
      <c r="AB5" s="6">
        <f>Cashflow!M9</f>
        <v>72696.066226245443</v>
      </c>
    </row>
    <row r="6" spans="1:28" ht="19.899999999999999" customHeight="1">
      <c r="A6" s="82"/>
      <c r="B6" s="74"/>
      <c r="C6" s="74"/>
      <c r="D6" s="74"/>
      <c r="E6" s="94"/>
      <c r="F6" s="95"/>
      <c r="G6" s="74"/>
      <c r="H6" s="75"/>
      <c r="J6" s="8" t="s">
        <v>18</v>
      </c>
      <c r="K6" s="12">
        <f>Inputs!$B$17</f>
        <v>2.5000000000000001E-2</v>
      </c>
      <c r="L6" s="10"/>
      <c r="M6" s="11"/>
      <c r="N6" s="5">
        <f ca="1">Cashflow!B10</f>
        <v>46235</v>
      </c>
      <c r="O6" s="6">
        <f>-Cashflow!I10</f>
        <v>3906.0179808974663</v>
      </c>
      <c r="Q6" s="5">
        <f ca="1">Cashflow!B10</f>
        <v>46235</v>
      </c>
      <c r="R6" s="6">
        <f>Cashflow!L10</f>
        <v>76654.715719010128</v>
      </c>
      <c r="U6" s="6"/>
      <c r="X6" s="1" t="s">
        <v>19</v>
      </c>
      <c r="Y6" s="6">
        <f>-SUM(Cashflow!$G$6:$G$126)</f>
        <v>14354.332890063226</v>
      </c>
      <c r="AA6" s="5">
        <f ca="1">Cashflow!B10</f>
        <v>46235</v>
      </c>
      <c r="AB6" s="6">
        <f>Cashflow!M10</f>
        <v>76539.072898502709</v>
      </c>
    </row>
    <row r="7" spans="1:28" ht="19.899999999999999" customHeight="1" thickBot="1">
      <c r="A7" s="82"/>
      <c r="B7" s="74"/>
      <c r="C7" s="74"/>
      <c r="D7" s="74"/>
      <c r="E7" s="96"/>
      <c r="F7" s="97"/>
      <c r="G7" s="74"/>
      <c r="H7" s="75"/>
      <c r="J7" s="8" t="s">
        <v>20</v>
      </c>
      <c r="K7" s="12">
        <f>Inputs!$B$18</f>
        <v>0.05</v>
      </c>
      <c r="L7" s="10"/>
      <c r="M7" s="11"/>
      <c r="N7" s="5">
        <f ca="1">Cashflow!B11</f>
        <v>46266</v>
      </c>
      <c r="O7" s="6">
        <f>-Cashflow!I11</f>
        <v>4419.23458745076</v>
      </c>
      <c r="Q7" s="5">
        <f ca="1">Cashflow!B11</f>
        <v>46266</v>
      </c>
      <c r="R7" s="6">
        <f>Cashflow!L11</f>
        <v>81073.950306460887</v>
      </c>
      <c r="U7" s="6"/>
      <c r="X7" s="1" t="s">
        <v>21</v>
      </c>
      <c r="Y7" s="6">
        <f>-SUM(Cashflow!$H$6:$H$126)</f>
        <v>39776.918024633713</v>
      </c>
      <c r="AA7" s="5">
        <f ca="1">Cashflow!B11</f>
        <v>46266</v>
      </c>
      <c r="AB7" s="6">
        <f>Cashflow!M11</f>
        <v>80869.374856163646</v>
      </c>
    </row>
    <row r="8" spans="1:28" ht="19.899999999999999" customHeight="1">
      <c r="A8" s="81" t="s">
        <v>22</v>
      </c>
      <c r="B8" s="72"/>
      <c r="C8" s="72" t="s">
        <v>23</v>
      </c>
      <c r="D8" s="72"/>
      <c r="E8" s="72" t="s">
        <v>24</v>
      </c>
      <c r="F8" s="72"/>
      <c r="G8" s="72" t="s">
        <v>25</v>
      </c>
      <c r="H8" s="73"/>
      <c r="J8" s="8" t="s">
        <v>26</v>
      </c>
      <c r="K8" s="13" t="str">
        <f>Inputs!$B$11</f>
        <v>Petrol</v>
      </c>
      <c r="L8" s="10"/>
      <c r="M8" s="11"/>
      <c r="N8" s="5">
        <f ca="1">Cashflow!B12</f>
        <v>46296</v>
      </c>
      <c r="O8" s="6">
        <f>-Cashflow!I12</f>
        <v>2099.7649630375281</v>
      </c>
      <c r="Q8" s="5">
        <f ca="1">Cashflow!B12</f>
        <v>46296</v>
      </c>
      <c r="R8" s="6">
        <f>Cashflow!L12</f>
        <v>83173.715269498411</v>
      </c>
      <c r="U8" s="6"/>
      <c r="AA8" s="5">
        <f ca="1">Cashflow!B12</f>
        <v>46296</v>
      </c>
      <c r="AB8" s="6">
        <f>Cashflow!M12</f>
        <v>82918.535636766741</v>
      </c>
    </row>
    <row r="9" spans="1:28" ht="19.899999999999999" customHeight="1">
      <c r="A9" s="82">
        <f>-SUM(Cashflow!$E$6:$E$126)</f>
        <v>159417.48751176943</v>
      </c>
      <c r="B9" s="74"/>
      <c r="C9" s="74">
        <f>-SUM(Cashflow!$F$6:$F$126)</f>
        <v>123173.85359883717</v>
      </c>
      <c r="D9" s="74"/>
      <c r="E9" s="74">
        <f>-SUM(Cashflow!$G$6:$G$126)</f>
        <v>14354.332890063226</v>
      </c>
      <c r="F9" s="74"/>
      <c r="G9" s="74">
        <f>-SUM(Cashflow!$H$6:$H$126)</f>
        <v>39776.918024633713</v>
      </c>
      <c r="H9" s="75"/>
      <c r="J9" s="8" t="s">
        <v>27</v>
      </c>
      <c r="K9" s="14">
        <f>Inputs!$B$13</f>
        <v>15</v>
      </c>
      <c r="L9" s="10" t="s">
        <v>28</v>
      </c>
      <c r="M9" s="11"/>
      <c r="N9" s="5">
        <f ca="1">Cashflow!B13</f>
        <v>46327</v>
      </c>
      <c r="O9" s="6">
        <f>-Cashflow!I13</f>
        <v>2104.0901350665386</v>
      </c>
      <c r="Q9" s="5">
        <f ca="1">Cashflow!B13</f>
        <v>46327</v>
      </c>
      <c r="R9" s="6">
        <f>Cashflow!L13</f>
        <v>85277.805404564948</v>
      </c>
      <c r="AA9" s="5">
        <f ca="1">Cashflow!B13</f>
        <v>46327</v>
      </c>
      <c r="AB9" s="6">
        <f>Cashflow!M13</f>
        <v>84963.585566510941</v>
      </c>
    </row>
    <row r="10" spans="1:28" ht="19.899999999999999" customHeight="1" thickBot="1">
      <c r="A10" s="82"/>
      <c r="B10" s="74"/>
      <c r="C10" s="74"/>
      <c r="D10" s="74"/>
      <c r="E10" s="74"/>
      <c r="F10" s="74"/>
      <c r="G10" s="74"/>
      <c r="H10" s="75"/>
      <c r="J10" s="15" t="s">
        <v>29</v>
      </c>
      <c r="K10" s="16">
        <f>Inputs!$B$12</f>
        <v>6.5</v>
      </c>
      <c r="L10" s="17" t="s">
        <v>30</v>
      </c>
      <c r="M10" s="4"/>
      <c r="N10" s="5">
        <f ca="1">Cashflow!B14</f>
        <v>46357</v>
      </c>
      <c r="O10" s="6">
        <f>-Cashflow!I14</f>
        <v>2108.4242162417668</v>
      </c>
      <c r="Q10" s="5">
        <f ca="1">Cashflow!B14</f>
        <v>46357</v>
      </c>
      <c r="R10" s="6">
        <f>Cashflow!L14</f>
        <v>87386.229620806713</v>
      </c>
      <c r="AA10" s="5">
        <f ca="1">Cashflow!B14</f>
        <v>46357</v>
      </c>
      <c r="AB10" s="6">
        <f>Cashflow!M14</f>
        <v>87004.532892233168</v>
      </c>
    </row>
    <row r="11" spans="1:28" ht="19.899999999999999" customHeight="1" thickBot="1">
      <c r="A11" s="83"/>
      <c r="B11" s="76"/>
      <c r="C11" s="76"/>
      <c r="D11" s="76"/>
      <c r="E11" s="76"/>
      <c r="F11" s="76"/>
      <c r="G11" s="76"/>
      <c r="H11" s="77"/>
      <c r="N11" s="5">
        <f ca="1">Cashflow!B15</f>
        <v>46388</v>
      </c>
      <c r="O11" s="6">
        <f>-Cashflow!I15</f>
        <v>2112.7672249145962</v>
      </c>
      <c r="Q11" s="5">
        <f ca="1">Cashflow!B15</f>
        <v>46388</v>
      </c>
      <c r="R11" s="6">
        <f>Cashflow!L15</f>
        <v>89498.996845721311</v>
      </c>
      <c r="AA11" s="5">
        <f ca="1">Cashflow!B15</f>
        <v>46388</v>
      </c>
      <c r="AB11" s="6">
        <f>Cashflow!M15</f>
        <v>89041.385844226257</v>
      </c>
    </row>
    <row r="12" spans="1:28" ht="19.899999999999999" customHeight="1">
      <c r="N12" s="5">
        <f ca="1">Cashflow!B16</f>
        <v>46419</v>
      </c>
      <c r="O12" s="6">
        <f>-Cashflow!I16</f>
        <v>2117.1191794742103</v>
      </c>
      <c r="Q12" s="5">
        <f ca="1">Cashflow!B16</f>
        <v>46419</v>
      </c>
      <c r="R12" s="6">
        <f>Cashflow!L16</f>
        <v>91616.116025195515</v>
      </c>
      <c r="AA12" s="5">
        <f ca="1">Cashflow!B16</f>
        <v>46419</v>
      </c>
      <c r="AB12" s="6">
        <f>Cashflow!M16</f>
        <v>91074.152636272105</v>
      </c>
    </row>
    <row r="13" spans="1:28" ht="19.899999999999999" customHeight="1">
      <c r="N13" s="5">
        <f ca="1">Cashflow!B17</f>
        <v>46447</v>
      </c>
      <c r="O13" s="6">
        <f>-Cashflow!I17</f>
        <v>2121.4800983476707</v>
      </c>
      <c r="Q13" s="5">
        <f ca="1">Cashflow!B17</f>
        <v>46447</v>
      </c>
      <c r="R13" s="6">
        <f>Cashflow!L17</f>
        <v>93737.59612354319</v>
      </c>
      <c r="AA13" s="5">
        <f ca="1">Cashflow!B17</f>
        <v>46447</v>
      </c>
      <c r="AB13" s="6">
        <f>Cashflow!M17</f>
        <v>93102.84146567485</v>
      </c>
    </row>
    <row r="14" spans="1:28" ht="19.899999999999999" customHeight="1">
      <c r="N14" s="5">
        <f ca="1">Cashflow!B18</f>
        <v>46478</v>
      </c>
      <c r="O14" s="6">
        <f>-Cashflow!I18</f>
        <v>7045.8499999999904</v>
      </c>
      <c r="Q14" s="5">
        <f ca="1">Cashflow!B18</f>
        <v>46478</v>
      </c>
      <c r="R14" s="6">
        <f>Cashflow!L18</f>
        <v>100783.44612354318</v>
      </c>
      <c r="AA14" s="5">
        <f ca="1">Cashflow!B18</f>
        <v>46478</v>
      </c>
      <c r="AB14" s="6">
        <f>Cashflow!M18</f>
        <v>99813.174799008164</v>
      </c>
    </row>
    <row r="15" spans="1:28" ht="19.899999999999999" customHeight="1">
      <c r="N15" s="5">
        <f ca="1">Cashflow!B19</f>
        <v>46508</v>
      </c>
      <c r="O15" s="6">
        <f>-Cashflow!I19</f>
        <v>2130.2289029342419</v>
      </c>
      <c r="Q15" s="5">
        <f ca="1">Cashflow!B19</f>
        <v>46508</v>
      </c>
      <c r="R15" s="6">
        <f>Cashflow!L19</f>
        <v>102913.67502647742</v>
      </c>
      <c r="AA15" s="5">
        <f ca="1">Cashflow!B19</f>
        <v>46508</v>
      </c>
      <c r="AB15" s="6">
        <f>Cashflow!M19</f>
        <v>101833.73222929117</v>
      </c>
    </row>
    <row r="16" spans="1:28" ht="19.899999999999999" customHeight="1">
      <c r="N16" s="5">
        <f ca="1">Cashflow!B20</f>
        <v>46539</v>
      </c>
      <c r="O16" s="6">
        <f>-Cashflow!I20</f>
        <v>2134.6168256915735</v>
      </c>
      <c r="Q16" s="5">
        <f ca="1">Cashflow!B20</f>
        <v>46539</v>
      </c>
      <c r="R16" s="6">
        <f>Cashflow!L20</f>
        <v>105048.29185216899</v>
      </c>
      <c r="AA16" s="5">
        <f ca="1">Cashflow!B20</f>
        <v>46539</v>
      </c>
      <c r="AB16" s="6">
        <f>Cashflow!M20</f>
        <v>103850.23619030697</v>
      </c>
    </row>
    <row r="17" spans="14:28" ht="19.899999999999999" customHeight="1">
      <c r="N17" s="5">
        <f ca="1">Cashflow!B21</f>
        <v>46569</v>
      </c>
      <c r="O17" s="6">
        <f>-Cashflow!I21</f>
        <v>2139.0137868513498</v>
      </c>
      <c r="Q17" s="5">
        <f ca="1">Cashflow!B21</f>
        <v>46569</v>
      </c>
      <c r="R17" s="6">
        <f>Cashflow!L21</f>
        <v>107187.30563902034</v>
      </c>
      <c r="AA17" s="5">
        <f ca="1">Cashflow!B21</f>
        <v>46569</v>
      </c>
      <c r="AB17" s="6">
        <f>Cashflow!M21</f>
        <v>105862.69481377846</v>
      </c>
    </row>
    <row r="18" spans="14:28" ht="19.899999999999999" customHeight="1">
      <c r="N18" s="5">
        <f ca="1">Cashflow!B22</f>
        <v>46600</v>
      </c>
      <c r="O18" s="6">
        <f>-Cashflow!I22</f>
        <v>2143.4198050311998</v>
      </c>
      <c r="Q18" s="5">
        <f ca="1">Cashflow!B22</f>
        <v>46600</v>
      </c>
      <c r="R18" s="6">
        <f>Cashflow!L22</f>
        <v>109330.72544405154</v>
      </c>
      <c r="AA18" s="5">
        <f ca="1">Cashflow!B22</f>
        <v>46600</v>
      </c>
      <c r="AB18" s="6">
        <f>Cashflow!M22</f>
        <v>107871.11621511537</v>
      </c>
    </row>
    <row r="19" spans="14:28" ht="19.899999999999999" customHeight="1">
      <c r="N19" s="5">
        <f ca="1">Cashflow!B23</f>
        <v>46631</v>
      </c>
      <c r="O19" s="6">
        <f>-Cashflow!I23</f>
        <v>2147.8348988871021</v>
      </c>
      <c r="Q19" s="5">
        <f ca="1">Cashflow!B23</f>
        <v>46631</v>
      </c>
      <c r="R19" s="6">
        <f>Cashflow!L23</f>
        <v>111478.56034293864</v>
      </c>
      <c r="AA19" s="5">
        <f ca="1">Cashflow!B23</f>
        <v>46631</v>
      </c>
      <c r="AB19" s="6">
        <f>Cashflow!M23</f>
        <v>109875.50849344696</v>
      </c>
    </row>
    <row r="20" spans="14:28" ht="19.899999999999999" customHeight="1">
      <c r="N20" s="5">
        <f ca="1">Cashflow!B24</f>
        <v>46661</v>
      </c>
      <c r="O20" s="6">
        <f>-Cashflow!I24</f>
        <v>5265.4593095533828</v>
      </c>
      <c r="Q20" s="5">
        <f ca="1">Cashflow!B24</f>
        <v>46661</v>
      </c>
      <c r="R20" s="6">
        <f>Cashflow!L24</f>
        <v>116744.01965249202</v>
      </c>
      <c r="AA20" s="5">
        <f ca="1">Cashflow!B24</f>
        <v>46661</v>
      </c>
      <c r="AB20" s="6">
        <f>Cashflow!M24</f>
        <v>114769.37718325712</v>
      </c>
    </row>
    <row r="21" spans="14:28" ht="19.899999999999999" customHeight="1">
      <c r="N21" s="5">
        <f ca="1">Cashflow!B25</f>
        <v>46692</v>
      </c>
      <c r="O21" s="6">
        <f>-Cashflow!I25</f>
        <v>2156.6923884431985</v>
      </c>
      <c r="Q21" s="5">
        <f ca="1">Cashflow!B25</f>
        <v>46692</v>
      </c>
      <c r="R21" s="6">
        <f>Cashflow!L25</f>
        <v>118900.71204093522</v>
      </c>
      <c r="AA21" s="5">
        <f ca="1">Cashflow!B25</f>
        <v>46692</v>
      </c>
      <c r="AB21" s="6">
        <f>Cashflow!M25</f>
        <v>116765.73544800741</v>
      </c>
    </row>
    <row r="22" spans="14:28" ht="19.899999999999999" customHeight="1">
      <c r="N22" s="5">
        <f ca="1">Cashflow!B26</f>
        <v>46722</v>
      </c>
      <c r="O22" s="6">
        <f>-Cashflow!I26</f>
        <v>2161.1348216478082</v>
      </c>
      <c r="Q22" s="5">
        <f ca="1">Cashflow!B26</f>
        <v>46722</v>
      </c>
      <c r="R22" s="6">
        <f>Cashflow!L26</f>
        <v>121061.84686258303</v>
      </c>
      <c r="AA22" s="5">
        <f ca="1">Cashflow!B26</f>
        <v>46722</v>
      </c>
      <c r="AB22" s="6">
        <f>Cashflow!M26</f>
        <v>118758.08878978387</v>
      </c>
    </row>
    <row r="23" spans="14:28" ht="19.899999999999999" customHeight="1">
      <c r="N23" s="5">
        <f ca="1">Cashflow!B27</f>
        <v>46753</v>
      </c>
      <c r="O23" s="6">
        <f>-Cashflow!I27</f>
        <v>2165.5864055374577</v>
      </c>
      <c r="Q23" s="5">
        <f ca="1">Cashflow!B27</f>
        <v>46753</v>
      </c>
      <c r="R23" s="6">
        <f>Cashflow!L27</f>
        <v>123227.43326812048</v>
      </c>
      <c r="AA23" s="5">
        <f ca="1">Cashflow!B27</f>
        <v>46753</v>
      </c>
      <c r="AB23" s="6">
        <f>Cashflow!M27</f>
        <v>120746.44524291997</v>
      </c>
    </row>
    <row r="24" spans="14:28" ht="19.899999999999999" customHeight="1">
      <c r="N24" s="5">
        <f ca="1">Cashflow!B28</f>
        <v>46784</v>
      </c>
      <c r="O24" s="6">
        <f>-Cashflow!I28</f>
        <v>2170.0471589610625</v>
      </c>
      <c r="Q24" s="5">
        <f ca="1">Cashflow!B28</f>
        <v>46784</v>
      </c>
      <c r="R24" s="6">
        <f>Cashflow!L28</f>
        <v>125397.48042708155</v>
      </c>
      <c r="AA24" s="5">
        <f ca="1">Cashflow!B28</f>
        <v>46784</v>
      </c>
      <c r="AB24" s="6">
        <f>Cashflow!M28</f>
        <v>122730.81282563139</v>
      </c>
    </row>
    <row r="25" spans="14:28" ht="19.899999999999999" customHeight="1">
      <c r="N25" s="5">
        <f ca="1">Cashflow!B29</f>
        <v>46813</v>
      </c>
      <c r="O25" s="6">
        <f>-Cashflow!I29</f>
        <v>2174.5171008063598</v>
      </c>
      <c r="Q25" s="5">
        <f ca="1">Cashflow!B29</f>
        <v>46813</v>
      </c>
      <c r="R25" s="6">
        <f>Cashflow!L29</f>
        <v>127571.99752788791</v>
      </c>
      <c r="AA25" s="5">
        <f ca="1">Cashflow!B29</f>
        <v>46813</v>
      </c>
      <c r="AB25" s="6">
        <f>Cashflow!M29</f>
        <v>124711.19954004836</v>
      </c>
    </row>
    <row r="26" spans="14:28" ht="19.899999999999999" customHeight="1">
      <c r="N26" s="5">
        <f ca="1">Cashflow!B30</f>
        <v>46844</v>
      </c>
      <c r="O26" s="6">
        <f>-Cashflow!I30</f>
        <v>8745.4024999999747</v>
      </c>
      <c r="Q26" s="5">
        <f ca="1">Cashflow!B30</f>
        <v>46844</v>
      </c>
      <c r="R26" s="6">
        <f>Cashflow!L30</f>
        <v>136317.4000278879</v>
      </c>
      <c r="AA26" s="5">
        <f ca="1">Cashflow!B30</f>
        <v>46844</v>
      </c>
      <c r="AB26" s="6">
        <f>Cashflow!M30</f>
        <v>132643.53740852905</v>
      </c>
    </row>
    <row r="27" spans="14:28" ht="19.899999999999999" customHeight="1">
      <c r="N27" s="5">
        <f ca="1">Cashflow!B31</f>
        <v>46874</v>
      </c>
      <c r="O27" s="6">
        <f>-Cashflow!I31</f>
        <v>2183.4846255075954</v>
      </c>
      <c r="Q27" s="5">
        <f ca="1">Cashflow!B31</f>
        <v>46874</v>
      </c>
      <c r="R27" s="6">
        <f>Cashflow!L31</f>
        <v>138500.88465339548</v>
      </c>
      <c r="AA27" s="5">
        <f ca="1">Cashflow!B31</f>
        <v>46874</v>
      </c>
      <c r="AB27" s="6">
        <f>Cashflow!M31</f>
        <v>134615.9863285672</v>
      </c>
    </row>
    <row r="28" spans="14:28" ht="19.899999999999999" customHeight="1">
      <c r="N28" s="5">
        <f ca="1">Cashflow!B32</f>
        <v>46905</v>
      </c>
      <c r="O28" s="6">
        <f>-Cashflow!I32</f>
        <v>2187.9822463338596</v>
      </c>
      <c r="Q28" s="5">
        <f ca="1">Cashflow!B32</f>
        <v>46905</v>
      </c>
      <c r="R28" s="6">
        <f>Cashflow!L32</f>
        <v>140688.86689972933</v>
      </c>
      <c r="AA28" s="5">
        <f ca="1">Cashflow!B32</f>
        <v>46905</v>
      </c>
      <c r="AB28" s="6">
        <f>Cashflow!M32</f>
        <v>136584.47829051121</v>
      </c>
    </row>
    <row r="29" spans="14:28" ht="19.899999999999999" customHeight="1">
      <c r="N29" s="5">
        <f ca="1">Cashflow!B33</f>
        <v>46935</v>
      </c>
      <c r="O29" s="6">
        <f>-Cashflow!I33</f>
        <v>2192.48913152263</v>
      </c>
      <c r="Q29" s="5">
        <f ca="1">Cashflow!B33</f>
        <v>46935</v>
      </c>
      <c r="R29" s="6">
        <f>Cashflow!L33</f>
        <v>142881.35603125195</v>
      </c>
      <c r="AA29" s="5">
        <f ca="1">Cashflow!B33</f>
        <v>46935</v>
      </c>
      <c r="AB29" s="6">
        <f>Cashflow!M33</f>
        <v>138549.02123247145</v>
      </c>
    </row>
    <row r="30" spans="14:28" ht="19.899999999999999" customHeight="1">
      <c r="N30" s="5">
        <f ca="1">Cashflow!B34</f>
        <v>46966</v>
      </c>
      <c r="O30" s="6">
        <f>-Cashflow!I34</f>
        <v>2197.0053001569768</v>
      </c>
      <c r="Q30" s="5">
        <f ca="1">Cashflow!B34</f>
        <v>46966</v>
      </c>
      <c r="R30" s="6">
        <f>Cashflow!L34</f>
        <v>145078.36133140893</v>
      </c>
      <c r="AA30" s="5">
        <f ca="1">Cashflow!B34</f>
        <v>46966</v>
      </c>
      <c r="AB30" s="6">
        <f>Cashflow!M34</f>
        <v>140509.62307663367</v>
      </c>
    </row>
    <row r="31" spans="14:28" ht="19.899999999999999" customHeight="1">
      <c r="N31" s="5">
        <f ca="1">Cashflow!B35</f>
        <v>46997</v>
      </c>
      <c r="O31" s="6">
        <f>-Cashflow!I35</f>
        <v>2201.5307713592765</v>
      </c>
      <c r="Q31" s="5">
        <f ca="1">Cashflow!B35</f>
        <v>46997</v>
      </c>
      <c r="R31" s="6">
        <f>Cashflow!L35</f>
        <v>147279.89210276821</v>
      </c>
      <c r="AA31" s="5">
        <f ca="1">Cashflow!B35</f>
        <v>46997</v>
      </c>
      <c r="AB31" s="6">
        <f>Cashflow!M35</f>
        <v>142466.29172929068</v>
      </c>
    </row>
    <row r="32" spans="14:28" ht="19.899999999999999" customHeight="1">
      <c r="N32" s="5">
        <f ca="1">Cashflow!B36</f>
        <v>47027</v>
      </c>
      <c r="O32" s="6">
        <f>-Cashflow!I36</f>
        <v>2206.0655642912971</v>
      </c>
      <c r="Q32" s="5">
        <f ca="1">Cashflow!B36</f>
        <v>47027</v>
      </c>
      <c r="R32" s="6">
        <f>Cashflow!L36</f>
        <v>149485.9576670595</v>
      </c>
      <c r="AA32" s="5">
        <f ca="1">Cashflow!B36</f>
        <v>47027</v>
      </c>
      <c r="AB32" s="6">
        <f>Cashflow!M36</f>
        <v>144419.03508087446</v>
      </c>
    </row>
    <row r="33" spans="14:28" ht="19.899999999999999" customHeight="1">
      <c r="N33" s="5">
        <f ca="1">Cashflow!B37</f>
        <v>47058</v>
      </c>
      <c r="O33" s="6">
        <f>-Cashflow!I37</f>
        <v>2210.609698154276</v>
      </c>
      <c r="Q33" s="5">
        <f ca="1">Cashflow!B37</f>
        <v>47058</v>
      </c>
      <c r="R33" s="6">
        <f>Cashflow!L37</f>
        <v>151696.56736521376</v>
      </c>
      <c r="AA33" s="5">
        <f ca="1">Cashflow!B37</f>
        <v>47058</v>
      </c>
      <c r="AB33" s="6">
        <f>Cashflow!M37</f>
        <v>146367.86100598783</v>
      </c>
    </row>
    <row r="34" spans="14:28" ht="19.899999999999999" customHeight="1">
      <c r="N34" s="5">
        <f ca="1">Cashflow!B38</f>
        <v>47088</v>
      </c>
      <c r="O34" s="6">
        <f>-Cashflow!I38</f>
        <v>2215.1631921889998</v>
      </c>
      <c r="Q34" s="5">
        <f ca="1">Cashflow!B38</f>
        <v>47088</v>
      </c>
      <c r="R34" s="6">
        <f>Cashflow!L38</f>
        <v>153911.73055740277</v>
      </c>
      <c r="AA34" s="5">
        <f ca="1">Cashflow!B38</f>
        <v>47088</v>
      </c>
      <c r="AB34" s="6">
        <f>Cashflow!M38</f>
        <v>148312.77736343627</v>
      </c>
    </row>
    <row r="35" spans="14:28" ht="19.899999999999999" customHeight="1">
      <c r="N35" s="5">
        <f ca="1">Cashflow!B39</f>
        <v>47119</v>
      </c>
      <c r="O35" s="6">
        <f>-Cashflow!I39</f>
        <v>2219.7260656758908</v>
      </c>
      <c r="Q35" s="5">
        <f ca="1">Cashflow!B39</f>
        <v>47119</v>
      </c>
      <c r="R35" s="6">
        <f>Cashflow!L39</f>
        <v>156131.45662307867</v>
      </c>
      <c r="AA35" s="5">
        <f ca="1">Cashflow!B39</f>
        <v>47119</v>
      </c>
      <c r="AB35" s="6">
        <f>Cashflow!M39</f>
        <v>150253.79199625959</v>
      </c>
    </row>
    <row r="36" spans="14:28" ht="19.899999999999999" customHeight="1">
      <c r="N36" s="5">
        <f ca="1">Cashflow!B40</f>
        <v>47150</v>
      </c>
      <c r="O36" s="6">
        <f>-Cashflow!I40</f>
        <v>2224.2983379350858</v>
      </c>
      <c r="Q36" s="5">
        <f ca="1">Cashflow!B40</f>
        <v>47150</v>
      </c>
      <c r="R36" s="6">
        <f>Cashflow!L40</f>
        <v>158355.75496101376</v>
      </c>
      <c r="AA36" s="5">
        <f ca="1">Cashflow!B40</f>
        <v>47150</v>
      </c>
      <c r="AB36" s="6">
        <f>Cashflow!M40</f>
        <v>152190.91273176359</v>
      </c>
    </row>
    <row r="37" spans="14:28" ht="19.899999999999999" customHeight="1">
      <c r="N37" s="5">
        <f ca="1">Cashflow!B41</f>
        <v>47178</v>
      </c>
      <c r="O37" s="6">
        <f>-Cashflow!I41</f>
        <v>2228.8800283265155</v>
      </c>
      <c r="Q37" s="5">
        <f ca="1">Cashflow!B41</f>
        <v>47178</v>
      </c>
      <c r="R37" s="6">
        <f>Cashflow!L41</f>
        <v>160584.63498934027</v>
      </c>
      <c r="AA37" s="5">
        <f ca="1">Cashflow!B41</f>
        <v>47178</v>
      </c>
      <c r="AB37" s="6">
        <f>Cashflow!M41</f>
        <v>154124.14738155156</v>
      </c>
    </row>
    <row r="38" spans="14:28" ht="19.899999999999999" customHeight="1">
      <c r="N38" s="5">
        <f ca="1">Cashflow!B42</f>
        <v>47209</v>
      </c>
      <c r="O38" s="6">
        <f>-Cashflow!I42</f>
        <v>8964.0375624999615</v>
      </c>
      <c r="Q38" s="5">
        <f ca="1">Cashflow!B42</f>
        <v>47209</v>
      </c>
      <c r="R38" s="6">
        <f>Cashflow!L42</f>
        <v>169548.67255184022</v>
      </c>
      <c r="AA38" s="5">
        <f ca="1">Cashflow!B42</f>
        <v>47209</v>
      </c>
      <c r="AB38" s="6">
        <f>Cashflow!M42</f>
        <v>161867.62006268746</v>
      </c>
    </row>
    <row r="39" spans="14:28" ht="19.899999999999999" customHeight="1">
      <c r="N39" s="5">
        <f ca="1">Cashflow!B43</f>
        <v>47239</v>
      </c>
      <c r="O39" s="6">
        <f>-Cashflow!I43</f>
        <v>2238.071741145282</v>
      </c>
      <c r="Q39" s="5">
        <f ca="1">Cashflow!B43</f>
        <v>47239</v>
      </c>
      <c r="R39" s="6">
        <f>Cashflow!L43</f>
        <v>171786.7442929855</v>
      </c>
      <c r="AA39" s="5">
        <f ca="1">Cashflow!B43</f>
        <v>47239</v>
      </c>
      <c r="AB39" s="6">
        <f>Cashflow!M43</f>
        <v>163793.10591320091</v>
      </c>
    </row>
    <row r="40" spans="14:28" ht="19.899999999999999" customHeight="1">
      <c r="N40" s="5">
        <f ca="1">Cashflow!B44</f>
        <v>47270</v>
      </c>
      <c r="O40" s="6">
        <f>-Cashflow!I44</f>
        <v>2242.6818024922031</v>
      </c>
      <c r="Q40" s="5">
        <f ca="1">Cashflow!B44</f>
        <v>47270</v>
      </c>
      <c r="R40" s="6">
        <f>Cashflow!L44</f>
        <v>174029.42609547771</v>
      </c>
      <c r="AA40" s="5">
        <f ca="1">Cashflow!B44</f>
        <v>47270</v>
      </c>
      <c r="AB40" s="6">
        <f>Cashflow!M44</f>
        <v>165714.72901890814</v>
      </c>
    </row>
    <row r="41" spans="14:28">
      <c r="N41" s="5">
        <f ca="1">Cashflow!B45</f>
        <v>47300</v>
      </c>
      <c r="O41" s="6">
        <f>-Cashflow!I45</f>
        <v>2247.3013598106932</v>
      </c>
      <c r="Q41" s="5">
        <f ca="1">Cashflow!B45</f>
        <v>47300</v>
      </c>
      <c r="R41" s="6">
        <f>Cashflow!L45</f>
        <v>176276.7274552884</v>
      </c>
      <c r="AA41" s="5">
        <f ca="1">Cashflow!B45</f>
        <v>47300</v>
      </c>
      <c r="AB41" s="6">
        <f>Cashflow!M45</f>
        <v>167632.49712891696</v>
      </c>
    </row>
    <row r="42" spans="14:28">
      <c r="N42" s="5">
        <f ca="1">Cashflow!B46</f>
        <v>47331</v>
      </c>
      <c r="O42" s="6">
        <f>-Cashflow!I46</f>
        <v>2251.9304326608976</v>
      </c>
      <c r="Q42" s="5">
        <f ca="1">Cashflow!B46</f>
        <v>47331</v>
      </c>
      <c r="R42" s="6">
        <f>Cashflow!L46</f>
        <v>178528.65788794929</v>
      </c>
      <c r="AA42" s="5">
        <f ca="1">Cashflow!B46</f>
        <v>47331</v>
      </c>
      <c r="AB42" s="6">
        <f>Cashflow!M46</f>
        <v>169546.41797678958</v>
      </c>
    </row>
    <row r="43" spans="14:28">
      <c r="N43" s="5">
        <f ca="1">Cashflow!B47</f>
        <v>47362</v>
      </c>
      <c r="O43" s="6">
        <f>-Cashflow!I47</f>
        <v>2256.5690406432554</v>
      </c>
      <c r="Q43" s="5">
        <f ca="1">Cashflow!B47</f>
        <v>47362</v>
      </c>
      <c r="R43" s="6">
        <f>Cashflow!L47</f>
        <v>180785.22692859254</v>
      </c>
      <c r="AA43" s="5">
        <f ca="1">Cashflow!B47</f>
        <v>47362</v>
      </c>
      <c r="AB43" s="6">
        <f>Cashflow!M47</f>
        <v>171456.49928057383</v>
      </c>
    </row>
    <row r="44" spans="14:28">
      <c r="N44" s="5">
        <f ca="1">Cashflow!B48</f>
        <v>47392</v>
      </c>
      <c r="O44" s="6">
        <f>-Cashflow!I48</f>
        <v>2261.2172033985767</v>
      </c>
      <c r="Q44" s="5">
        <f ca="1">Cashflow!B48</f>
        <v>47392</v>
      </c>
      <c r="R44" s="6">
        <f>Cashflow!L48</f>
        <v>183046.44413199113</v>
      </c>
      <c r="AA44" s="5">
        <f ca="1">Cashflow!B48</f>
        <v>47392</v>
      </c>
      <c r="AB44" s="6">
        <f>Cashflow!M48</f>
        <v>173362.74874283417</v>
      </c>
    </row>
    <row r="45" spans="14:28">
      <c r="N45" s="5">
        <f ca="1">Cashflow!B49</f>
        <v>47423</v>
      </c>
      <c r="O45" s="6">
        <f>-Cashflow!I49</f>
        <v>2265.8749406081292</v>
      </c>
      <c r="Q45" s="5">
        <f ca="1">Cashflow!B49</f>
        <v>47423</v>
      </c>
      <c r="R45" s="6">
        <f>Cashflow!L49</f>
        <v>185312.31907259926</v>
      </c>
      <c r="AA45" s="5">
        <f ca="1">Cashflow!B49</f>
        <v>47423</v>
      </c>
      <c r="AB45" s="6">
        <f>Cashflow!M49</f>
        <v>175265.17405068292</v>
      </c>
    </row>
    <row r="46" spans="14:28">
      <c r="N46" s="5">
        <f ca="1">Cashflow!B50</f>
        <v>47453</v>
      </c>
      <c r="O46" s="6">
        <f>-Cashflow!I50</f>
        <v>2270.5422719937214</v>
      </c>
      <c r="Q46" s="5">
        <f ca="1">Cashflow!B50</f>
        <v>47453</v>
      </c>
      <c r="R46" s="6">
        <f>Cashflow!L50</f>
        <v>187582.861344593</v>
      </c>
      <c r="AA46" s="5">
        <f ca="1">Cashflow!B50</f>
        <v>47453</v>
      </c>
      <c r="AB46" s="6">
        <f>Cashflow!M50</f>
        <v>177163.78287581116</v>
      </c>
    </row>
    <row r="47" spans="14:28">
      <c r="N47" s="5">
        <f ca="1">Cashflow!B51</f>
        <v>47484</v>
      </c>
      <c r="O47" s="6">
        <f>-Cashflow!I51</f>
        <v>2275.219217317785</v>
      </c>
      <c r="Q47" s="5">
        <f ca="1">Cashflow!B51</f>
        <v>47484</v>
      </c>
      <c r="R47" s="6">
        <f>Cashflow!L51</f>
        <v>189858.08056191079</v>
      </c>
      <c r="AA47" s="5">
        <f ca="1">Cashflow!B51</f>
        <v>47484</v>
      </c>
      <c r="AB47" s="6">
        <f>Cashflow!M51</f>
        <v>179058.58287451963</v>
      </c>
    </row>
    <row r="48" spans="14:28">
      <c r="N48" s="5">
        <f ca="1">Cashflow!B52</f>
        <v>47515</v>
      </c>
      <c r="O48" s="6">
        <f>-Cashflow!I52</f>
        <v>2279.9057963834598</v>
      </c>
      <c r="Q48" s="5">
        <f ca="1">Cashflow!B52</f>
        <v>47515</v>
      </c>
      <c r="R48" s="6">
        <f>Cashflow!L52</f>
        <v>192137.98635829423</v>
      </c>
      <c r="AA48" s="5">
        <f ca="1">Cashflow!B52</f>
        <v>47515</v>
      </c>
      <c r="AB48" s="6">
        <f>Cashflow!M52</f>
        <v>180949.58168774971</v>
      </c>
    </row>
    <row r="49" spans="14:28">
      <c r="N49" s="5">
        <f ca="1">Cashflow!B53</f>
        <v>47543</v>
      </c>
      <c r="O49" s="6">
        <f>-Cashflow!I53</f>
        <v>2284.6020290346751</v>
      </c>
      <c r="Q49" s="5">
        <f ca="1">Cashflow!B53</f>
        <v>47543</v>
      </c>
      <c r="R49" s="6">
        <f>Cashflow!L53</f>
        <v>194422.5883873289</v>
      </c>
      <c r="AA49" s="5">
        <f ca="1">Cashflow!B53</f>
        <v>47543</v>
      </c>
      <c r="AB49" s="6">
        <f>Cashflow!M53</f>
        <v>182836.78694111417</v>
      </c>
    </row>
    <row r="50" spans="14:28">
      <c r="N50" s="5">
        <f ca="1">Cashflow!B54</f>
        <v>47574</v>
      </c>
      <c r="O50" s="6">
        <f>-Cashflow!I54</f>
        <v>11395.764282812435</v>
      </c>
      <c r="Q50" s="5">
        <f ca="1">Cashflow!B54</f>
        <v>47574</v>
      </c>
      <c r="R50" s="6">
        <f>Cashflow!L54</f>
        <v>205818.35267014132</v>
      </c>
      <c r="AA50" s="5">
        <f ca="1">Cashflow!B54</f>
        <v>47574</v>
      </c>
      <c r="AB50" s="6">
        <f>Cashflow!M54</f>
        <v>192212.11041872884</v>
      </c>
    </row>
    <row r="51" spans="14:28">
      <c r="N51" s="5">
        <f ca="1">Cashflow!B55</f>
        <v>47604</v>
      </c>
      <c r="O51" s="6">
        <f>-Cashflow!I55</f>
        <v>2294.0235346739109</v>
      </c>
      <c r="Q51" s="5">
        <f ca="1">Cashflow!B55</f>
        <v>47604</v>
      </c>
      <c r="R51" s="6">
        <f>Cashflow!L55</f>
        <v>208112.37620481523</v>
      </c>
      <c r="AA51" s="5">
        <f ca="1">Cashflow!B55</f>
        <v>47604</v>
      </c>
      <c r="AB51" s="6">
        <f>Cashflow!M55</f>
        <v>194091.75136803958</v>
      </c>
    </row>
    <row r="52" spans="14:28">
      <c r="N52" s="5">
        <f ca="1">Cashflow!B56</f>
        <v>47635</v>
      </c>
      <c r="O52" s="6">
        <f>-Cashflow!I56</f>
        <v>2298.7488475545051</v>
      </c>
      <c r="Q52" s="5">
        <f ca="1">Cashflow!B56</f>
        <v>47635</v>
      </c>
      <c r="R52" s="6">
        <f>Cashflow!L56</f>
        <v>210411.12505236972</v>
      </c>
      <c r="AA52" s="5">
        <f ca="1">Cashflow!B56</f>
        <v>47635</v>
      </c>
      <c r="AB52" s="6">
        <f>Cashflow!M56</f>
        <v>195967.62154265854</v>
      </c>
    </row>
    <row r="53" spans="14:28">
      <c r="N53" s="5">
        <f ca="1">Cashflow!B57</f>
        <v>47665</v>
      </c>
      <c r="O53" s="6">
        <f>-Cashflow!I57</f>
        <v>2303.4838938059565</v>
      </c>
      <c r="Q53" s="5">
        <f ca="1">Cashflow!B57</f>
        <v>47665</v>
      </c>
      <c r="R53" s="6">
        <f>Cashflow!L57</f>
        <v>212714.60894617569</v>
      </c>
      <c r="AA53" s="5">
        <f ca="1">Cashflow!B57</f>
        <v>47665</v>
      </c>
      <c r="AB53" s="6">
        <f>Cashflow!M57</f>
        <v>197839.72850719094</v>
      </c>
    </row>
    <row r="54" spans="14:28">
      <c r="N54" s="5">
        <f ca="1">Cashflow!B58</f>
        <v>47696</v>
      </c>
      <c r="O54" s="6">
        <f>-Cashflow!I58</f>
        <v>2308.2286934774174</v>
      </c>
      <c r="Q54" s="5">
        <f ca="1">Cashflow!B58</f>
        <v>47696</v>
      </c>
      <c r="R54" s="6">
        <f>Cashflow!L58</f>
        <v>215022.83763965312</v>
      </c>
      <c r="AA54" s="5">
        <f ca="1">Cashflow!B58</f>
        <v>47696</v>
      </c>
      <c r="AB54" s="6">
        <f>Cashflow!M58</f>
        <v>199708.07981106659</v>
      </c>
    </row>
    <row r="55" spans="14:28">
      <c r="N55" s="5">
        <f ca="1">Cashflow!B59</f>
        <v>47727</v>
      </c>
      <c r="O55" s="6">
        <f>-Cashflow!I59</f>
        <v>2312.9832666593329</v>
      </c>
      <c r="Q55" s="5">
        <f ca="1">Cashflow!B59</f>
        <v>47727</v>
      </c>
      <c r="R55" s="6">
        <f>Cashflow!L59</f>
        <v>217335.82090631247</v>
      </c>
      <c r="AA55" s="5">
        <f ca="1">Cashflow!B59</f>
        <v>47727</v>
      </c>
      <c r="AB55" s="6">
        <f>Cashflow!M59</f>
        <v>201572.68298857025</v>
      </c>
    </row>
    <row r="56" spans="14:28">
      <c r="N56" s="5">
        <f ca="1">Cashflow!B60</f>
        <v>47757</v>
      </c>
      <c r="O56" s="6">
        <f>-Cashflow!I60</f>
        <v>2317.7476334835374</v>
      </c>
      <c r="Q56" s="5">
        <f ca="1">Cashflow!B60</f>
        <v>47757</v>
      </c>
      <c r="R56" s="6">
        <f>Cashflow!L60</f>
        <v>219653.56853979599</v>
      </c>
      <c r="AA56" s="5">
        <f ca="1">Cashflow!B60</f>
        <v>47757</v>
      </c>
      <c r="AB56" s="6">
        <f>Cashflow!M60</f>
        <v>203433.54555887202</v>
      </c>
    </row>
    <row r="57" spans="14:28">
      <c r="N57" s="5">
        <f ca="1">Cashflow!B61</f>
        <v>47788</v>
      </c>
      <c r="O57" s="6">
        <f>-Cashflow!I61</f>
        <v>2322.5218141233295</v>
      </c>
      <c r="Q57" s="5">
        <f ca="1">Cashflow!B61</f>
        <v>47788</v>
      </c>
      <c r="R57" s="6">
        <f>Cashflow!L61</f>
        <v>221976.09035391931</v>
      </c>
      <c r="AA57" s="5">
        <f ca="1">Cashflow!B61</f>
        <v>47788</v>
      </c>
      <c r="AB57" s="6">
        <f>Cashflow!M61</f>
        <v>205290.67502605772</v>
      </c>
    </row>
    <row r="58" spans="14:28">
      <c r="N58" s="5">
        <f ca="1">Cashflow!B62</f>
        <v>47818</v>
      </c>
      <c r="O58" s="6">
        <f>-Cashflow!I62</f>
        <v>2327.3058287935614</v>
      </c>
      <c r="Q58" s="5">
        <f ca="1">Cashflow!B62</f>
        <v>47818</v>
      </c>
      <c r="R58" s="6">
        <f>Cashflow!L62</f>
        <v>224303.39618271287</v>
      </c>
      <c r="AA58" s="5">
        <f ca="1">Cashflow!B62</f>
        <v>47818</v>
      </c>
      <c r="AB58" s="6">
        <f>Cashflow!M62</f>
        <v>207144.07887915909</v>
      </c>
    </row>
    <row r="59" spans="14:28">
      <c r="N59" s="5">
        <f ca="1">Cashflow!B63</f>
        <v>47849</v>
      </c>
      <c r="O59" s="6">
        <f>-Cashflow!I63</f>
        <v>2332.099697750727</v>
      </c>
      <c r="Q59" s="5">
        <f ca="1">Cashflow!B63</f>
        <v>47849</v>
      </c>
      <c r="R59" s="6">
        <f>Cashflow!L63</f>
        <v>226635.4958804636</v>
      </c>
      <c r="AA59" s="5">
        <f ca="1">Cashflow!B63</f>
        <v>47849</v>
      </c>
      <c r="AB59" s="6">
        <f>Cashflow!M63</f>
        <v>208993.76459218404</v>
      </c>
    </row>
    <row r="60" spans="14:28">
      <c r="N60" s="5">
        <f ca="1">Cashflow!B64</f>
        <v>47880</v>
      </c>
      <c r="O60" s="6">
        <f>-Cashflow!I64</f>
        <v>2336.9034412930428</v>
      </c>
      <c r="Q60" s="5">
        <f ca="1">Cashflow!B64</f>
        <v>47880</v>
      </c>
      <c r="R60" s="6">
        <f>Cashflow!L64</f>
        <v>228972.39932175665</v>
      </c>
      <c r="AA60" s="5">
        <f ca="1">Cashflow!B64</f>
        <v>47880</v>
      </c>
      <c r="AB60" s="6">
        <f>Cashflow!M64</f>
        <v>210839.73962414675</v>
      </c>
    </row>
    <row r="61" spans="14:28">
      <c r="N61" s="5">
        <f ca="1">Cashflow!B65</f>
        <v>47908</v>
      </c>
      <c r="O61" s="6">
        <f>-Cashflow!I65</f>
        <v>2341.7170797605386</v>
      </c>
      <c r="Q61" s="5">
        <f ca="1">Cashflow!B65</f>
        <v>47908</v>
      </c>
      <c r="R61" s="6">
        <f>Cashflow!L65</f>
        <v>231314.11640151718</v>
      </c>
      <c r="AA61" s="5">
        <f ca="1">Cashflow!B65</f>
        <v>47908</v>
      </c>
      <c r="AB61" s="6">
        <f>Cashflow!M65</f>
        <v>212682.01141909775</v>
      </c>
    </row>
    <row r="62" spans="14:28">
      <c r="N62" s="5">
        <f ca="1">Cashflow!B66</f>
        <v>47939</v>
      </c>
      <c r="O62" s="6">
        <f>-Cashflow!I66</f>
        <v>3760.8008996484114</v>
      </c>
      <c r="Q62" s="5">
        <f ca="1">Cashflow!B66</f>
        <v>47939</v>
      </c>
      <c r="R62" s="6">
        <f>Cashflow!L66</f>
        <v>235074.91730116558</v>
      </c>
      <c r="AA62" s="5">
        <f ca="1">Cashflow!B66</f>
        <v>47939</v>
      </c>
      <c r="AB62" s="6">
        <f>Cashflow!M66</f>
        <v>215628.69733085038</v>
      </c>
    </row>
    <row r="63" spans="14:28">
      <c r="N63" s="5">
        <f ca="1">Cashflow!B67</f>
        <v>47969</v>
      </c>
      <c r="O63" s="6">
        <f>-Cashflow!I67</f>
        <v>2351.374123040755</v>
      </c>
      <c r="Q63" s="5">
        <f ca="1">Cashflow!B67</f>
        <v>47969</v>
      </c>
      <c r="R63" s="6">
        <f>Cashflow!L67</f>
        <v>237426.29142420634</v>
      </c>
      <c r="AA63" s="5">
        <f ca="1">Cashflow!B67</f>
        <v>47969</v>
      </c>
      <c r="AB63" s="6">
        <f>Cashflow!M67</f>
        <v>217463.58492422514</v>
      </c>
    </row>
    <row r="64" spans="14:28">
      <c r="N64" s="5">
        <f ca="1">Cashflow!B68</f>
        <v>48000</v>
      </c>
      <c r="O64" s="6">
        <f>-Cashflow!I68</f>
        <v>2356.2175687433642</v>
      </c>
      <c r="Q64" s="5">
        <f ca="1">Cashflow!B68</f>
        <v>48000</v>
      </c>
      <c r="R64" s="6">
        <f>Cashflow!L68</f>
        <v>239782.5089929497</v>
      </c>
      <c r="AA64" s="5">
        <f ca="1">Cashflow!B68</f>
        <v>48000</v>
      </c>
      <c r="AB64" s="6">
        <f>Cashflow!M68</f>
        <v>219294.79152325791</v>
      </c>
    </row>
    <row r="65" spans="14:28">
      <c r="N65" s="5">
        <f ca="1">Cashflow!B69</f>
        <v>48030</v>
      </c>
      <c r="O65" s="6">
        <f>-Cashflow!I69</f>
        <v>2361.070991151103</v>
      </c>
      <c r="Q65" s="5">
        <f ca="1">Cashflow!B69</f>
        <v>48030</v>
      </c>
      <c r="R65" s="6">
        <f>Cashflow!L69</f>
        <v>242143.5799841008</v>
      </c>
      <c r="AA65" s="5">
        <f ca="1">Cashflow!B69</f>
        <v>48030</v>
      </c>
      <c r="AB65" s="6">
        <f>Cashflow!M69</f>
        <v>221122.32451244432</v>
      </c>
    </row>
    <row r="66" spans="14:28">
      <c r="N66" s="5">
        <f ca="1">Cashflow!B70</f>
        <v>48061</v>
      </c>
      <c r="O66" s="6">
        <f>-Cashflow!I70</f>
        <v>2365.9344108143491</v>
      </c>
      <c r="Q66" s="5">
        <f ca="1">Cashflow!B70</f>
        <v>48061</v>
      </c>
      <c r="R66" s="6">
        <f>Cashflow!L70</f>
        <v>244509.51439491514</v>
      </c>
      <c r="AA66" s="5">
        <f ca="1">Cashflow!B70</f>
        <v>48061</v>
      </c>
      <c r="AB66" s="6">
        <f>Cashflow!M70</f>
        <v>222946.19126146578</v>
      </c>
    </row>
    <row r="67" spans="14:28">
      <c r="N67" s="5">
        <f ca="1">Cashflow!B71</f>
        <v>48092</v>
      </c>
      <c r="O67" s="6">
        <f>-Cashflow!I71</f>
        <v>2370.8078483258132</v>
      </c>
      <c r="Q67" s="5">
        <f ca="1">Cashflow!B71</f>
        <v>48092</v>
      </c>
      <c r="R67" s="6">
        <f>Cashflow!L71</f>
        <v>246880.32224324095</v>
      </c>
      <c r="AA67" s="5">
        <f ca="1">Cashflow!B71</f>
        <v>48092</v>
      </c>
      <c r="AB67" s="6">
        <f>Cashflow!M71</f>
        <v>224766.39912521932</v>
      </c>
    </row>
    <row r="68" spans="14:28">
      <c r="N68" s="5">
        <f ca="1">Cashflow!B72</f>
        <v>48122</v>
      </c>
      <c r="O68" s="6">
        <f>-Cashflow!I72</f>
        <v>2375.6913243206227</v>
      </c>
      <c r="Q68" s="5">
        <f ca="1">Cashflow!B72</f>
        <v>48122</v>
      </c>
      <c r="R68" s="6">
        <f>Cashflow!L72</f>
        <v>249256.01356756157</v>
      </c>
      <c r="AA68" s="5">
        <f ca="1">Cashflow!B72</f>
        <v>48122</v>
      </c>
      <c r="AB68" s="6">
        <f>Cashflow!M72</f>
        <v>226582.95544384723</v>
      </c>
    </row>
    <row r="69" spans="14:28">
      <c r="N69" s="5">
        <f ca="1">Cashflow!B73</f>
        <v>48153</v>
      </c>
      <c r="O69" s="6">
        <f>-Cashflow!I73</f>
        <v>2380.5848594764093</v>
      </c>
      <c r="Q69" s="5">
        <f ca="1">Cashflow!B73</f>
        <v>48153</v>
      </c>
      <c r="R69" s="6">
        <f>Cashflow!L73</f>
        <v>251636.59842703797</v>
      </c>
      <c r="AA69" s="5">
        <f ca="1">Cashflow!B73</f>
        <v>48153</v>
      </c>
      <c r="AB69" s="6">
        <f>Cashflow!M73</f>
        <v>228395.86754276659</v>
      </c>
    </row>
    <row r="70" spans="14:28">
      <c r="N70" s="5">
        <f ca="1">Cashflow!B74</f>
        <v>48183</v>
      </c>
      <c r="O70" s="6">
        <f>-Cashflow!I74</f>
        <v>2385.4884745133968</v>
      </c>
      <c r="Q70" s="5">
        <f ca="1">Cashflow!B74</f>
        <v>48183</v>
      </c>
      <c r="R70" s="6">
        <f>Cashflow!L74</f>
        <v>254022.08690155137</v>
      </c>
      <c r="AA70" s="5">
        <f ca="1">Cashflow!B74</f>
        <v>48183</v>
      </c>
      <c r="AB70" s="6">
        <f>Cashflow!M74</f>
        <v>230205.14273269888</v>
      </c>
    </row>
    <row r="71" spans="14:28">
      <c r="N71" s="5">
        <f ca="1">Cashflow!B75</f>
        <v>48214</v>
      </c>
      <c r="O71" s="6">
        <f>-Cashflow!I75</f>
        <v>2390.4021901944916</v>
      </c>
      <c r="Q71" s="5">
        <f ca="1">Cashflow!B75</f>
        <v>48214</v>
      </c>
      <c r="R71" s="6">
        <f>Cashflow!L75</f>
        <v>256412.48909174587</v>
      </c>
      <c r="AA71" s="5">
        <f ca="1">Cashflow!B75</f>
        <v>48214</v>
      </c>
      <c r="AB71" s="6">
        <f>Cashflow!M75</f>
        <v>232010.78830969942</v>
      </c>
    </row>
    <row r="72" spans="14:28">
      <c r="N72" s="5">
        <f ca="1">Cashflow!B76</f>
        <v>48245</v>
      </c>
      <c r="O72" s="6">
        <f>-Cashflow!I76</f>
        <v>2395.3260273253654</v>
      </c>
      <c r="Q72" s="5">
        <f ca="1">Cashflow!B76</f>
        <v>48245</v>
      </c>
      <c r="R72" s="6">
        <f>Cashflow!L76</f>
        <v>258807.81511907122</v>
      </c>
      <c r="AA72" s="5">
        <f ca="1">Cashflow!B76</f>
        <v>48245</v>
      </c>
      <c r="AB72" s="6">
        <f>Cashflow!M76</f>
        <v>233812.81155518681</v>
      </c>
    </row>
    <row r="73" spans="14:28">
      <c r="N73" s="5">
        <f ca="1">Cashflow!B77</f>
        <v>48274</v>
      </c>
      <c r="O73" s="6">
        <f>-Cashflow!I77</f>
        <v>2400.2600067545491</v>
      </c>
      <c r="Q73" s="5">
        <f ca="1">Cashflow!B77</f>
        <v>48274</v>
      </c>
      <c r="R73" s="6">
        <f>Cashflow!L77</f>
        <v>261208.07512582577</v>
      </c>
      <c r="AA73" s="5">
        <f ca="1">Cashflow!B77</f>
        <v>48274</v>
      </c>
      <c r="AB73" s="6">
        <f>Cashflow!M77</f>
        <v>235611.21973597232</v>
      </c>
    </row>
    <row r="74" spans="14:28">
      <c r="N74" s="5">
        <f ca="1">Cashflow!B78</f>
        <v>48305</v>
      </c>
      <c r="O74" s="6">
        <f>-Cashflow!I78</f>
        <v>3854.8209221396164</v>
      </c>
      <c r="Q74" s="5">
        <f ca="1">Cashflow!B78</f>
        <v>48305</v>
      </c>
      <c r="R74" s="6">
        <f>Cashflow!L78</f>
        <v>265062.89604796539</v>
      </c>
      <c r="AA74" s="5">
        <f ca="1">Cashflow!B78</f>
        <v>48305</v>
      </c>
      <c r="AB74" s="6">
        <f>Cashflow!M78</f>
        <v>238487.74645934987</v>
      </c>
    </row>
    <row r="75" spans="14:28">
      <c r="N75" s="5">
        <f ca="1">Cashflow!B79</f>
        <v>48335</v>
      </c>
      <c r="O75" s="6">
        <f>-Cashflow!I79</f>
        <v>2410.1584761167705</v>
      </c>
      <c r="Q75" s="5">
        <f ca="1">Cashflow!B79</f>
        <v>48335</v>
      </c>
      <c r="R75" s="6">
        <f>Cashflow!L79</f>
        <v>267473.05452408217</v>
      </c>
      <c r="AA75" s="5">
        <f ca="1">Cashflow!B79</f>
        <v>48335</v>
      </c>
      <c r="AB75" s="6">
        <f>Cashflow!M79</f>
        <v>240278.94625288236</v>
      </c>
    </row>
    <row r="76" spans="14:28">
      <c r="N76" s="5">
        <f ca="1">Cashflow!B80</f>
        <v>48366</v>
      </c>
      <c r="O76" s="6">
        <f>-Cashflow!I80</f>
        <v>2415.1230079619449</v>
      </c>
      <c r="Q76" s="5">
        <f ca="1">Cashflow!B80</f>
        <v>48366</v>
      </c>
      <c r="R76" s="6">
        <f>Cashflow!L80</f>
        <v>269888.17753204412</v>
      </c>
      <c r="AA76" s="5">
        <f ca="1">Cashflow!B80</f>
        <v>48366</v>
      </c>
      <c r="AB76" s="6">
        <f>Cashflow!M80</f>
        <v>242066.5526947953</v>
      </c>
    </row>
    <row r="77" spans="14:28">
      <c r="N77" s="5">
        <f ca="1">Cashflow!B81</f>
        <v>48396</v>
      </c>
      <c r="O77" s="6">
        <f>-Cashflow!I81</f>
        <v>2420.0977659298769</v>
      </c>
      <c r="Q77" s="5">
        <f ca="1">Cashflow!B81</f>
        <v>48396</v>
      </c>
      <c r="R77" s="6">
        <f>Cashflow!L81</f>
        <v>272308.275297974</v>
      </c>
      <c r="AA77" s="5">
        <f ca="1">Cashflow!B81</f>
        <v>48396</v>
      </c>
      <c r="AB77" s="6">
        <f>Cashflow!M81</f>
        <v>243850.57299376297</v>
      </c>
    </row>
    <row r="78" spans="14:28">
      <c r="N78" s="5">
        <f ca="1">Cashflow!B82</f>
        <v>48427</v>
      </c>
      <c r="O78" s="6">
        <f>-Cashflow!I82</f>
        <v>2425.0827710847047</v>
      </c>
      <c r="Q78" s="5">
        <f ca="1">Cashflow!B82</f>
        <v>48427</v>
      </c>
      <c r="R78" s="6">
        <f>Cashflow!L82</f>
        <v>274733.35806905868</v>
      </c>
      <c r="AA78" s="5">
        <f ca="1">Cashflow!B82</f>
        <v>48427</v>
      </c>
      <c r="AB78" s="6">
        <f>Cashflow!M82</f>
        <v>245631.01434399819</v>
      </c>
    </row>
    <row r="79" spans="14:28">
      <c r="N79" s="5">
        <f ca="1">Cashflow!B83</f>
        <v>48458</v>
      </c>
      <c r="O79" s="6">
        <f>-Cashflow!I83</f>
        <v>2430.0780445339551</v>
      </c>
      <c r="Q79" s="5">
        <f ca="1">Cashflow!B83</f>
        <v>48458</v>
      </c>
      <c r="R79" s="6">
        <f>Cashflow!L83</f>
        <v>277163.43611359264</v>
      </c>
      <c r="AA79" s="5">
        <f ca="1">Cashflow!B83</f>
        <v>48458</v>
      </c>
      <c r="AB79" s="6">
        <f>Cashflow!M83</f>
        <v>247407.88392528144</v>
      </c>
    </row>
    <row r="80" spans="14:28">
      <c r="N80" s="5">
        <f ca="1">Cashflow!B84</f>
        <v>48488</v>
      </c>
      <c r="O80" s="6">
        <f>-Cashflow!I84</f>
        <v>2435.0836074286349</v>
      </c>
      <c r="Q80" s="5">
        <f ca="1">Cashflow!B84</f>
        <v>48488</v>
      </c>
      <c r="R80" s="6">
        <f>Cashflow!L84</f>
        <v>279598.51972102129</v>
      </c>
      <c r="AA80" s="5">
        <f ca="1">Cashflow!B84</f>
        <v>48488</v>
      </c>
      <c r="AB80" s="6">
        <f>Cashflow!M84</f>
        <v>249181.18890298964</v>
      </c>
    </row>
    <row r="81" spans="14:28">
      <c r="N81" s="5">
        <f ca="1">Cashflow!B85</f>
        <v>48519</v>
      </c>
      <c r="O81" s="6">
        <f>-Cashflow!I85</f>
        <v>2440.0994809633157</v>
      </c>
      <c r="Q81" s="5">
        <f ca="1">Cashflow!B85</f>
        <v>48519</v>
      </c>
      <c r="R81" s="6">
        <f>Cashflow!L85</f>
        <v>282038.61920198461</v>
      </c>
      <c r="AA81" s="5">
        <f ca="1">Cashflow!B85</f>
        <v>48519</v>
      </c>
      <c r="AB81" s="6">
        <f>Cashflow!M85</f>
        <v>250950.93642812519</v>
      </c>
    </row>
    <row r="82" spans="14:28">
      <c r="N82" s="5">
        <f ca="1">Cashflow!B86</f>
        <v>48549</v>
      </c>
      <c r="O82" s="6">
        <f>-Cashflow!I86</f>
        <v>12466.132597754213</v>
      </c>
      <c r="Q82" s="5">
        <f ca="1">Cashflow!B86</f>
        <v>48549</v>
      </c>
      <c r="R82" s="6">
        <f>Cashflow!L86</f>
        <v>294504.75179973879</v>
      </c>
      <c r="AA82" s="5">
        <f ca="1">Cashflow!B86</f>
        <v>48549</v>
      </c>
      <c r="AB82" s="6">
        <f>Cashflow!M86</f>
        <v>259955.64678988417</v>
      </c>
    </row>
    <row r="83" spans="14:28">
      <c r="N83" s="5">
        <f ca="1">Cashflow!B87</f>
        <v>48580</v>
      </c>
      <c r="O83" s="6">
        <f>-Cashflow!I87</f>
        <v>2450.1622449493507</v>
      </c>
      <c r="Q83" s="5">
        <f ca="1">Cashflow!B87</f>
        <v>48580</v>
      </c>
      <c r="R83" s="6">
        <f>Cashflow!L87</f>
        <v>296954.91404468816</v>
      </c>
      <c r="AA83" s="5">
        <f ca="1">Cashflow!B87</f>
        <v>48580</v>
      </c>
      <c r="AB83" s="6">
        <f>Cashflow!M87</f>
        <v>261718.30080552754</v>
      </c>
    </row>
    <row r="84" spans="14:28">
      <c r="N84" s="5">
        <f ca="1">Cashflow!B88</f>
        <v>48611</v>
      </c>
      <c r="O84" s="6">
        <f>-Cashflow!I88</f>
        <v>2455.2091780084966</v>
      </c>
      <c r="Q84" s="5">
        <f ca="1">Cashflow!B88</f>
        <v>48611</v>
      </c>
      <c r="R84" s="6">
        <f>Cashflow!L88</f>
        <v>299410.12322269665</v>
      </c>
      <c r="AA84" s="5">
        <f ca="1">Cashflow!B88</f>
        <v>48611</v>
      </c>
      <c r="AB84" s="6">
        <f>Cashflow!M88</f>
        <v>263477.41873564618</v>
      </c>
    </row>
    <row r="85" spans="14:28">
      <c r="N85" s="5">
        <f ca="1">Cashflow!B89</f>
        <v>48639</v>
      </c>
      <c r="O85" s="6">
        <f>-Cashflow!I89</f>
        <v>2460.266506923409</v>
      </c>
      <c r="Q85" s="5">
        <f ca="1">Cashflow!B89</f>
        <v>48639</v>
      </c>
      <c r="R85" s="6">
        <f>Cashflow!L89</f>
        <v>301870.38972962007</v>
      </c>
      <c r="AA85" s="5">
        <f ca="1">Cashflow!B89</f>
        <v>48639</v>
      </c>
      <c r="AB85" s="6">
        <f>Cashflow!M89</f>
        <v>265233.00767403201</v>
      </c>
    </row>
    <row r="86" spans="14:28">
      <c r="N86" s="5">
        <f ca="1">Cashflow!B90</f>
        <v>48670</v>
      </c>
      <c r="O86" s="6">
        <f>-Cashflow!I90</f>
        <v>3951.1914451931016</v>
      </c>
      <c r="Q86" s="5">
        <f ca="1">Cashflow!B90</f>
        <v>48670</v>
      </c>
      <c r="R86" s="6">
        <f>Cashflow!L90</f>
        <v>305821.58117481315</v>
      </c>
      <c r="AA86" s="5">
        <f ca="1">Cashflow!B90</f>
        <v>48670</v>
      </c>
      <c r="AB86" s="6">
        <f>Cashflow!M90</f>
        <v>268041.04566590057</v>
      </c>
    </row>
    <row r="87" spans="14:28">
      <c r="N87" s="5">
        <f ca="1">Cashflow!B91</f>
        <v>48700</v>
      </c>
      <c r="O87" s="6">
        <f>-Cashflow!I91</f>
        <v>2470.4124380196863</v>
      </c>
      <c r="Q87" s="5">
        <f ca="1">Cashflow!B91</f>
        <v>48700</v>
      </c>
      <c r="R87" s="6">
        <f>Cashflow!L91</f>
        <v>308291.99361283286</v>
      </c>
      <c r="AA87" s="5">
        <f ca="1">Cashflow!B91</f>
        <v>48700</v>
      </c>
      <c r="AB87" s="6">
        <f>Cashflow!M91</f>
        <v>269789.59784530132</v>
      </c>
    </row>
    <row r="88" spans="14:28">
      <c r="N88" s="5">
        <f ca="1">Cashflow!B92</f>
        <v>48731</v>
      </c>
      <c r="O88" s="6">
        <f>-Cashflow!I92</f>
        <v>2475.5010831609898</v>
      </c>
      <c r="Q88" s="5">
        <f ca="1">Cashflow!B92</f>
        <v>48731</v>
      </c>
      <c r="R88" s="6">
        <f>Cashflow!L92</f>
        <v>310767.49469599384</v>
      </c>
      <c r="AA88" s="5">
        <f ca="1">Cashflow!B92</f>
        <v>48731</v>
      </c>
      <c r="AB88" s="6">
        <f>Cashflow!M92</f>
        <v>271534.64222907351</v>
      </c>
    </row>
    <row r="89" spans="14:28">
      <c r="N89" s="5">
        <f ca="1">Cashflow!B93</f>
        <v>48761</v>
      </c>
      <c r="O89" s="6">
        <f>-Cashflow!I93</f>
        <v>2480.6002100781197</v>
      </c>
      <c r="Q89" s="5">
        <f ca="1">Cashflow!B93</f>
        <v>48761</v>
      </c>
      <c r="R89" s="6">
        <f>Cashflow!L93</f>
        <v>313248.09490607196</v>
      </c>
      <c r="AA89" s="5">
        <f ca="1">Cashflow!B93</f>
        <v>48761</v>
      </c>
      <c r="AB89" s="6">
        <f>Cashflow!M93</f>
        <v>273276.18585425621</v>
      </c>
    </row>
    <row r="90" spans="14:28">
      <c r="N90" s="5">
        <f ca="1">Cashflow!B94</f>
        <v>48792</v>
      </c>
      <c r="O90" s="6">
        <f>-Cashflow!I94</f>
        <v>2485.7098403618184</v>
      </c>
      <c r="Q90" s="5">
        <f ca="1">Cashflow!B94</f>
        <v>48792</v>
      </c>
      <c r="R90" s="6">
        <f>Cashflow!L94</f>
        <v>315733.8047464338</v>
      </c>
      <c r="AA90" s="5">
        <f ca="1">Cashflow!B94</f>
        <v>48792</v>
      </c>
      <c r="AB90" s="6">
        <f>Cashflow!M94</f>
        <v>275014.23574377154</v>
      </c>
    </row>
    <row r="91" spans="14:28">
      <c r="N91" s="5">
        <f ca="1">Cashflow!B95</f>
        <v>48823</v>
      </c>
      <c r="O91" s="6">
        <f>-Cashflow!I95</f>
        <v>2490.8299956473011</v>
      </c>
      <c r="Q91" s="5">
        <f ca="1">Cashflow!B95</f>
        <v>48823</v>
      </c>
      <c r="R91" s="6">
        <f>Cashflow!L95</f>
        <v>318224.63474208111</v>
      </c>
      <c r="AA91" s="5">
        <f ca="1">Cashflow!B95</f>
        <v>48823</v>
      </c>
      <c r="AB91" s="6">
        <f>Cashflow!M95</f>
        <v>276748.79890645278</v>
      </c>
    </row>
    <row r="92" spans="14:28">
      <c r="N92" s="5">
        <f ca="1">Cashflow!B96</f>
        <v>48853</v>
      </c>
      <c r="O92" s="6">
        <f>-Cashflow!I96</f>
        <v>2495.9606976143473</v>
      </c>
      <c r="Q92" s="5">
        <f ca="1">Cashflow!B96</f>
        <v>48853</v>
      </c>
      <c r="R92" s="6">
        <f>Cashflow!L96</f>
        <v>320720.59543969546</v>
      </c>
      <c r="AA92" s="5">
        <f ca="1">Cashflow!B96</f>
        <v>48853</v>
      </c>
      <c r="AB92" s="6">
        <f>Cashflow!M96</f>
        <v>278479.88233707269</v>
      </c>
    </row>
    <row r="93" spans="14:28">
      <c r="N93" s="5">
        <f ca="1">Cashflow!B97</f>
        <v>48884</v>
      </c>
      <c r="O93" s="6">
        <f>-Cashflow!I97</f>
        <v>2501.1019679873953</v>
      </c>
      <c r="Q93" s="5">
        <f ca="1">Cashflow!B97</f>
        <v>48884</v>
      </c>
      <c r="R93" s="6">
        <f>Cashflow!L97</f>
        <v>323221.69740768283</v>
      </c>
      <c r="AA93" s="5">
        <f ca="1">Cashflow!B97</f>
        <v>48884</v>
      </c>
      <c r="AB93" s="6">
        <f>Cashflow!M97</f>
        <v>280207.49301637168</v>
      </c>
    </row>
    <row r="94" spans="14:28">
      <c r="N94" s="5">
        <f ca="1">Cashflow!B98</f>
        <v>48914</v>
      </c>
      <c r="O94" s="6">
        <f>-Cashflow!I98</f>
        <v>2506.2538285356309</v>
      </c>
      <c r="Q94" s="5">
        <f ca="1">Cashflow!B98</f>
        <v>48914</v>
      </c>
      <c r="R94" s="6">
        <f>Cashflow!L98</f>
        <v>325727.95123621845</v>
      </c>
      <c r="AA94" s="5">
        <f ca="1">Cashflow!B98</f>
        <v>48914</v>
      </c>
      <c r="AB94" s="6">
        <f>Cashflow!M98</f>
        <v>281931.63791108603</v>
      </c>
    </row>
    <row r="95" spans="14:28">
      <c r="N95" s="5">
        <f ca="1">Cashflow!B99</f>
        <v>48945</v>
      </c>
      <c r="O95" s="6">
        <f>-Cashflow!I99</f>
        <v>2511.4163010730804</v>
      </c>
      <c r="Q95" s="5">
        <f ca="1">Cashflow!B99</f>
        <v>48945</v>
      </c>
      <c r="R95" s="6">
        <f>Cashflow!L99</f>
        <v>328239.36753729155</v>
      </c>
      <c r="AA95" s="5">
        <f ca="1">Cashflow!B99</f>
        <v>48945</v>
      </c>
      <c r="AB95" s="6">
        <f>Cashflow!M99</f>
        <v>283652.32397397596</v>
      </c>
    </row>
    <row r="96" spans="14:28">
      <c r="N96" s="5">
        <f ca="1">Cashflow!B100</f>
        <v>48976</v>
      </c>
      <c r="O96" s="6">
        <f>-Cashflow!I100</f>
        <v>2516.589407458705</v>
      </c>
      <c r="Q96" s="5">
        <f ca="1">Cashflow!B100</f>
        <v>48976</v>
      </c>
      <c r="R96" s="6">
        <f>Cashflow!L100</f>
        <v>330755.95694475027</v>
      </c>
      <c r="AA96" s="5">
        <f ca="1">Cashflow!B100</f>
        <v>48976</v>
      </c>
      <c r="AB96" s="6">
        <f>Cashflow!M100</f>
        <v>285369.55814385368</v>
      </c>
    </row>
    <row r="97" spans="14:28">
      <c r="N97" s="5">
        <f ca="1">Cashflow!B101</f>
        <v>49004</v>
      </c>
      <c r="O97" s="6">
        <f>-Cashflow!I101</f>
        <v>2521.7731695964912</v>
      </c>
      <c r="Q97" s="5">
        <f ca="1">Cashflow!B101</f>
        <v>49004</v>
      </c>
      <c r="R97" s="6">
        <f>Cashflow!L101</f>
        <v>333277.73011434678</v>
      </c>
      <c r="AA97" s="5">
        <f ca="1">Cashflow!B101</f>
        <v>49004</v>
      </c>
      <c r="AB97" s="6">
        <f>Cashflow!M101</f>
        <v>287083.34734561126</v>
      </c>
    </row>
    <row r="98" spans="14:28">
      <c r="N98" s="5">
        <f ca="1">Cashflow!B102</f>
        <v>49035</v>
      </c>
      <c r="O98" s="6">
        <f>-Cashflow!I102</f>
        <v>4049.971231322922</v>
      </c>
      <c r="Q98" s="5">
        <f ca="1">Cashflow!B102</f>
        <v>49035</v>
      </c>
      <c r="R98" s="6">
        <f>Cashflow!L102</f>
        <v>337327.70134566969</v>
      </c>
      <c r="AA98" s="5">
        <f ca="1">Cashflow!B102</f>
        <v>49035</v>
      </c>
      <c r="AB98" s="6">
        <f>Cashflow!M102</f>
        <v>289824.52729005436</v>
      </c>
    </row>
    <row r="99" spans="14:28">
      <c r="N99" s="5">
        <f ca="1">Cashflow!B103</f>
        <v>49065</v>
      </c>
      <c r="O99" s="6">
        <f>-Cashflow!I103</f>
        <v>2532.1727489701752</v>
      </c>
      <c r="Q99" s="5">
        <f ca="1">Cashflow!B103</f>
        <v>49065</v>
      </c>
      <c r="R99" s="6">
        <f>Cashflow!L103</f>
        <v>339859.87409463985</v>
      </c>
      <c r="AA99" s="5">
        <f ca="1">Cashflow!B103</f>
        <v>49065</v>
      </c>
      <c r="AB99" s="6">
        <f>Cashflow!M103</f>
        <v>291531.44727470749</v>
      </c>
    </row>
    <row r="100" spans="14:28">
      <c r="N100" s="5">
        <f ca="1">Cashflow!B104</f>
        <v>49096</v>
      </c>
      <c r="O100" s="6">
        <f>-Cashflow!I104</f>
        <v>2537.3886102400111</v>
      </c>
      <c r="Q100" s="5">
        <f ca="1">Cashflow!B104</f>
        <v>49096</v>
      </c>
      <c r="R100" s="6">
        <f>Cashflow!L104</f>
        <v>342397.26270487986</v>
      </c>
      <c r="AA100" s="5">
        <f ca="1">Cashflow!B104</f>
        <v>49096</v>
      </c>
      <c r="AB100" s="6">
        <f>Cashflow!M104</f>
        <v>293234.94298267557</v>
      </c>
    </row>
    <row r="101" spans="14:28">
      <c r="N101" s="5">
        <f ca="1">Cashflow!B105</f>
        <v>49126</v>
      </c>
      <c r="O101" s="6">
        <f>-Cashflow!I105</f>
        <v>2542.6152153300691</v>
      </c>
      <c r="Q101" s="5">
        <f ca="1">Cashflow!B105</f>
        <v>49126</v>
      </c>
      <c r="R101" s="6">
        <f>Cashflow!L105</f>
        <v>344939.87792020995</v>
      </c>
      <c r="AA101" s="5">
        <f ca="1">Cashflow!B105</f>
        <v>49126</v>
      </c>
      <c r="AB101" s="6">
        <f>Cashflow!M105</f>
        <v>294935.0212834492</v>
      </c>
    </row>
    <row r="102" spans="14:28">
      <c r="N102" s="5">
        <f ca="1">Cashflow!B106</f>
        <v>49157</v>
      </c>
      <c r="O102" s="6">
        <f>-Cashflow!I106</f>
        <v>2547.8525863708605</v>
      </c>
      <c r="Q102" s="5">
        <f ca="1">Cashflow!B106</f>
        <v>49157</v>
      </c>
      <c r="R102" s="6">
        <f>Cashflow!L106</f>
        <v>347487.73050658079</v>
      </c>
      <c r="AA102" s="5">
        <f ca="1">Cashflow!B106</f>
        <v>49157</v>
      </c>
      <c r="AB102" s="6">
        <f>Cashflow!M106</f>
        <v>296631.68903273798</v>
      </c>
    </row>
    <row r="103" spans="14:28">
      <c r="N103" s="5">
        <f ca="1">Cashflow!B107</f>
        <v>49188</v>
      </c>
      <c r="O103" s="6">
        <f>-Cashflow!I107</f>
        <v>2553.1007455384797</v>
      </c>
      <c r="Q103" s="5">
        <f ca="1">Cashflow!B107</f>
        <v>49188</v>
      </c>
      <c r="R103" s="6">
        <f>Cashflow!L107</f>
        <v>350040.83125211927</v>
      </c>
      <c r="AA103" s="5">
        <f ca="1">Cashflow!B107</f>
        <v>49188</v>
      </c>
      <c r="AB103" s="6">
        <f>Cashflow!M107</f>
        <v>298324.95307249826</v>
      </c>
    </row>
    <row r="104" spans="14:28">
      <c r="N104" s="5">
        <f ca="1">Cashflow!B108</f>
        <v>49218</v>
      </c>
      <c r="O104" s="6">
        <f>-Cashflow!I108</f>
        <v>2558.3597150547021</v>
      </c>
      <c r="Q104" s="5">
        <f ca="1">Cashflow!B108</f>
        <v>49218</v>
      </c>
      <c r="R104" s="6">
        <f>Cashflow!L108</f>
        <v>352599.19096717396</v>
      </c>
      <c r="AA104" s="5">
        <f ca="1">Cashflow!B108</f>
        <v>49218</v>
      </c>
      <c r="AB104" s="6">
        <f>Cashflow!M108</f>
        <v>300014.82023096055</v>
      </c>
    </row>
    <row r="105" spans="14:28">
      <c r="N105" s="5">
        <f ca="1">Cashflow!B109</f>
        <v>49249</v>
      </c>
      <c r="O105" s="6">
        <f>-Cashflow!I109</f>
        <v>2563.629517187077</v>
      </c>
      <c r="Q105" s="5">
        <f ca="1">Cashflow!B109</f>
        <v>49249</v>
      </c>
      <c r="R105" s="6">
        <f>Cashflow!L109</f>
        <v>355162.82048436103</v>
      </c>
      <c r="AA105" s="5">
        <f ca="1">Cashflow!B109</f>
        <v>49249</v>
      </c>
      <c r="AB105" s="6">
        <f>Cashflow!M109</f>
        <v>301701.29732265719</v>
      </c>
    </row>
    <row r="106" spans="14:28">
      <c r="N106" s="5">
        <f ca="1">Cashflow!B110</f>
        <v>49279</v>
      </c>
      <c r="O106" s="6">
        <f>-Cashflow!I110</f>
        <v>2568.9101742490184</v>
      </c>
      <c r="Q106" s="5">
        <f ca="1">Cashflow!B110</f>
        <v>49279</v>
      </c>
      <c r="R106" s="6">
        <f>Cashflow!L110</f>
        <v>357731.73065861006</v>
      </c>
      <c r="AA106" s="5">
        <f ca="1">Cashflow!B110</f>
        <v>49279</v>
      </c>
      <c r="AB106" s="6">
        <f>Cashflow!M110</f>
        <v>303384.39114844979</v>
      </c>
    </row>
    <row r="107" spans="14:28">
      <c r="N107" s="5">
        <f ca="1">Cashflow!B111</f>
        <v>49310</v>
      </c>
      <c r="O107" s="6">
        <f>-Cashflow!I111</f>
        <v>2574.2017085999041</v>
      </c>
      <c r="Q107" s="5">
        <f ca="1">Cashflow!B111</f>
        <v>49310</v>
      </c>
      <c r="R107" s="6">
        <f>Cashflow!L111</f>
        <v>360305.93236720999</v>
      </c>
      <c r="AA107" s="5">
        <f ca="1">Cashflow!B111</f>
        <v>49310</v>
      </c>
      <c r="AB107" s="6">
        <f>Cashflow!M111</f>
        <v>305064.10849555663</v>
      </c>
    </row>
    <row r="108" spans="14:28">
      <c r="N108" s="5">
        <f ca="1">Cashflow!B112</f>
        <v>49341</v>
      </c>
      <c r="O108" s="6">
        <f>-Cashflow!I112</f>
        <v>2579.5041426451694</v>
      </c>
      <c r="Q108" s="5">
        <f ca="1">Cashflow!B112</f>
        <v>49341</v>
      </c>
      <c r="R108" s="6">
        <f>Cashflow!L112</f>
        <v>362885.43650985515</v>
      </c>
      <c r="AA108" s="5">
        <f ca="1">Cashflow!B112</f>
        <v>49341</v>
      </c>
      <c r="AB108" s="6">
        <f>Cashflow!M112</f>
        <v>306740.4561375801</v>
      </c>
    </row>
    <row r="109" spans="14:28">
      <c r="N109" s="5">
        <f ca="1">Cashflow!B113</f>
        <v>49369</v>
      </c>
      <c r="O109" s="6">
        <f>-Cashflow!I113</f>
        <v>2584.8174988363994</v>
      </c>
      <c r="Q109" s="5">
        <f ca="1">Cashflow!B113</f>
        <v>49369</v>
      </c>
      <c r="R109" s="6">
        <f>Cashflow!L113</f>
        <v>365470.25400869153</v>
      </c>
      <c r="AA109" s="5">
        <f ca="1">Cashflow!B113</f>
        <v>49369</v>
      </c>
      <c r="AB109" s="6">
        <f>Cashflow!M113</f>
        <v>308413.44083453395</v>
      </c>
    </row>
    <row r="110" spans="14:28">
      <c r="N110" s="5">
        <f ca="1">Cashflow!B114</f>
        <v>49400</v>
      </c>
      <c r="O110" s="6">
        <f>-Cashflow!I114</f>
        <v>4151.2205121059906</v>
      </c>
      <c r="Q110" s="5">
        <f ca="1">Cashflow!B114</f>
        <v>49400</v>
      </c>
      <c r="R110" s="6">
        <f>Cashflow!L114</f>
        <v>369621.47452079749</v>
      </c>
      <c r="AA110" s="5">
        <f ca="1">Cashflow!B114</f>
        <v>49400</v>
      </c>
      <c r="AB110" s="6">
        <f>Cashflow!M114</f>
        <v>311089.35458982363</v>
      </c>
    </row>
    <row r="111" spans="14:28">
      <c r="N111" s="5">
        <f ca="1">Cashflow!B115</f>
        <v>49430</v>
      </c>
      <c r="O111" s="6">
        <f>-Cashflow!I115</f>
        <v>2595.4770676944254</v>
      </c>
      <c r="Q111" s="5">
        <f ca="1">Cashflow!B115</f>
        <v>49430</v>
      </c>
      <c r="R111" s="6">
        <f>Cashflow!L115</f>
        <v>372216.95158849191</v>
      </c>
      <c r="AA111" s="5">
        <f ca="1">Cashflow!B115</f>
        <v>49430</v>
      </c>
      <c r="AB111" s="6">
        <f>Cashflow!M115</f>
        <v>312755.63362246123</v>
      </c>
    </row>
    <row r="112" spans="14:28">
      <c r="N112" s="5">
        <f ca="1">Cashflow!B116</f>
        <v>49461</v>
      </c>
      <c r="O112" s="6">
        <f>-Cashflow!I116</f>
        <v>2600.8233254960078</v>
      </c>
      <c r="Q112" s="5">
        <f ca="1">Cashflow!B116</f>
        <v>49461</v>
      </c>
      <c r="R112" s="6">
        <f>Cashflow!L116</f>
        <v>374817.7749139879</v>
      </c>
      <c r="AA112" s="5">
        <f ca="1">Cashflow!B116</f>
        <v>49461</v>
      </c>
      <c r="AB112" s="6">
        <f>Cashflow!M116</f>
        <v>314418.56990881101</v>
      </c>
    </row>
    <row r="113" spans="14:28">
      <c r="N113" s="5">
        <f ca="1">Cashflow!B117</f>
        <v>49491</v>
      </c>
      <c r="O113" s="6">
        <f>-Cashflow!I117</f>
        <v>2606.1805957133174</v>
      </c>
      <c r="Q113" s="5">
        <f ca="1">Cashflow!B117</f>
        <v>49491</v>
      </c>
      <c r="R113" s="6">
        <f>Cashflow!L117</f>
        <v>377423.95550970122</v>
      </c>
      <c r="AA113" s="5">
        <f ca="1">Cashflow!B117</f>
        <v>49491</v>
      </c>
      <c r="AB113" s="6">
        <f>Cashflow!M117</f>
        <v>316078.17015480431</v>
      </c>
    </row>
    <row r="114" spans="14:28">
      <c r="N114" s="5">
        <f ca="1">Cashflow!B118</f>
        <v>49522</v>
      </c>
      <c r="O114" s="6">
        <f>-Cashflow!I118</f>
        <v>2611.548901030128</v>
      </c>
      <c r="Q114" s="5">
        <f ca="1">Cashflow!B118</f>
        <v>49522</v>
      </c>
      <c r="R114" s="6">
        <f>Cashflow!L118</f>
        <v>380035.50441073137</v>
      </c>
      <c r="AA114" s="5">
        <f ca="1">Cashflow!B118</f>
        <v>49522</v>
      </c>
      <c r="AB114" s="6">
        <f>Cashflow!M118</f>
        <v>317734.44105291954</v>
      </c>
    </row>
    <row r="115" spans="14:28">
      <c r="N115" s="5">
        <f ca="1">Cashflow!B119</f>
        <v>49553</v>
      </c>
      <c r="O115" s="6">
        <f>-Cashflow!I119</f>
        <v>2616.9282641769382</v>
      </c>
      <c r="Q115" s="5">
        <f ca="1">Cashflow!B119</f>
        <v>49553</v>
      </c>
      <c r="R115" s="6">
        <f>Cashflow!L119</f>
        <v>382652.43267490831</v>
      </c>
      <c r="AA115" s="5">
        <f ca="1">Cashflow!B119</f>
        <v>49553</v>
      </c>
      <c r="AB115" s="6">
        <f>Cashflow!M119</f>
        <v>319387.38928220933</v>
      </c>
    </row>
    <row r="116" spans="14:28">
      <c r="N116" s="5">
        <f ca="1">Cashflow!B120</f>
        <v>49583</v>
      </c>
      <c r="O116" s="6">
        <f>-Cashflow!I120</f>
        <v>2622.3187079310665</v>
      </c>
      <c r="Q116" s="5">
        <f ca="1">Cashflow!B120</f>
        <v>49583</v>
      </c>
      <c r="R116" s="6">
        <f>Cashflow!L120</f>
        <v>385274.7513828394</v>
      </c>
      <c r="AA116" s="5">
        <f ca="1">Cashflow!B120</f>
        <v>49583</v>
      </c>
      <c r="AB116" s="6">
        <f>Cashflow!M120</f>
        <v>321037.02150832728</v>
      </c>
    </row>
    <row r="117" spans="14:28">
      <c r="N117" s="5">
        <f ca="1">Cashflow!B121</f>
        <v>49614</v>
      </c>
      <c r="O117" s="6">
        <f>-Cashflow!I121</f>
        <v>2627.7202551167493</v>
      </c>
      <c r="Q117" s="5">
        <f ca="1">Cashflow!B121</f>
        <v>49614</v>
      </c>
      <c r="R117" s="6">
        <f>Cashflow!L121</f>
        <v>387902.47163795616</v>
      </c>
      <c r="AA117" s="5">
        <f ca="1">Cashflow!B121</f>
        <v>49614</v>
      </c>
      <c r="AB117" s="6">
        <f>Cashflow!M121</f>
        <v>322683.34438355494</v>
      </c>
    </row>
    <row r="118" spans="14:28">
      <c r="N118" s="5">
        <f ca="1">Cashflow!B122</f>
        <v>49644</v>
      </c>
      <c r="O118" s="6">
        <f>-Cashflow!I122</f>
        <v>2633.1329286052396</v>
      </c>
      <c r="Q118" s="5">
        <f ca="1">Cashflow!B122</f>
        <v>49644</v>
      </c>
      <c r="R118" s="6">
        <f>Cashflow!L122</f>
        <v>390535.60456656141</v>
      </c>
      <c r="AA118" s="5">
        <f ca="1">Cashflow!B122</f>
        <v>49644</v>
      </c>
      <c r="AB118" s="6">
        <f>Cashflow!M122</f>
        <v>324326.36454682867</v>
      </c>
    </row>
    <row r="119" spans="14:28">
      <c r="N119" s="5">
        <f ca="1">Cashflow!B123</f>
        <v>49675</v>
      </c>
      <c r="O119" s="6">
        <f>-Cashflow!I123</f>
        <v>2638.5567513148976</v>
      </c>
      <c r="Q119" s="5">
        <f ca="1">Cashflow!B123</f>
        <v>49675</v>
      </c>
      <c r="R119" s="6">
        <f>Cashflow!L123</f>
        <v>393174.16131787631</v>
      </c>
      <c r="AA119" s="5">
        <f ca="1">Cashflow!B123</f>
        <v>49675</v>
      </c>
      <c r="AB119" s="6">
        <f>Cashflow!M123</f>
        <v>325966.08862376632</v>
      </c>
    </row>
    <row r="120" spans="14:28">
      <c r="N120" s="5">
        <f ca="1">Cashflow!B124</f>
        <v>49706</v>
      </c>
      <c r="O120" s="6">
        <f>-Cashflow!I124</f>
        <v>2643.9917462112949</v>
      </c>
      <c r="Q120" s="5">
        <f ca="1">Cashflow!B124</f>
        <v>49706</v>
      </c>
      <c r="R120" s="6">
        <f>Cashflow!L124</f>
        <v>395818.15306408762</v>
      </c>
      <c r="AA120" s="5">
        <f ca="1">Cashflow!B124</f>
        <v>49706</v>
      </c>
      <c r="AB120" s="6">
        <f>Cashflow!M124</f>
        <v>327602.52322669403</v>
      </c>
    </row>
    <row r="121" spans="14:28">
      <c r="N121" s="5">
        <f ca="1">Cashflow!B125</f>
        <v>49735</v>
      </c>
      <c r="O121" s="6">
        <f>-Cashflow!I125</f>
        <v>2649.4379363073058</v>
      </c>
      <c r="Q121" s="5">
        <f ca="1">Cashflow!B125</f>
        <v>49735</v>
      </c>
      <c r="R121" s="6">
        <f>Cashflow!L125</f>
        <v>398467.5910003949</v>
      </c>
      <c r="AA121" s="5">
        <f ca="1">Cashflow!B125</f>
        <v>49735</v>
      </c>
      <c r="AB121" s="6">
        <f>Cashflow!M125</f>
        <v>329235.67495467281</v>
      </c>
    </row>
    <row r="122" spans="14:28">
      <c r="N122" s="5">
        <f ca="1">Cashflow!B126</f>
        <v>49766</v>
      </c>
      <c r="O122" s="6">
        <f>-Cashflow!I126</f>
        <v>4255.0010249086345</v>
      </c>
      <c r="Q122" s="5">
        <f ca="1">Cashflow!B126</f>
        <v>49766</v>
      </c>
      <c r="R122" s="6">
        <f>Cashflow!L126</f>
        <v>402722.59202530351</v>
      </c>
      <c r="AA122" s="5">
        <f ca="1">Cashflow!B126</f>
        <v>49766</v>
      </c>
      <c r="AB122" s="6">
        <f>Cashflow!M126</f>
        <v>331847.87647769373</v>
      </c>
    </row>
    <row r="123" spans="14:28">
      <c r="N123" s="5"/>
      <c r="O123" s="6"/>
      <c r="Q123" s="5"/>
      <c r="R123" s="6"/>
    </row>
  </sheetData>
  <mergeCells count="19">
    <mergeCell ref="A1:M1"/>
    <mergeCell ref="A2:M2"/>
    <mergeCell ref="A4:B4"/>
    <mergeCell ref="A5:B7"/>
    <mergeCell ref="C4:D4"/>
    <mergeCell ref="C5:D7"/>
    <mergeCell ref="E4:F4"/>
    <mergeCell ref="E5:F7"/>
    <mergeCell ref="G4:H4"/>
    <mergeCell ref="G5:H7"/>
    <mergeCell ref="G8:H8"/>
    <mergeCell ref="G9:H11"/>
    <mergeCell ref="J4:M4"/>
    <mergeCell ref="A8:B8"/>
    <mergeCell ref="A9:B11"/>
    <mergeCell ref="C8:D8"/>
    <mergeCell ref="C9:D11"/>
    <mergeCell ref="E8:F8"/>
    <mergeCell ref="E9:F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election activeCell="B21" sqref="B21"/>
    </sheetView>
  </sheetViews>
  <sheetFormatPr defaultRowHeight="14.3"/>
  <cols>
    <col min="1" max="1" width="30" style="1" customWidth="1"/>
    <col min="2" max="2" width="16" style="1" customWidth="1"/>
    <col min="3" max="3" width="28" style="1" customWidth="1"/>
    <col min="4" max="4" width="44" style="1" customWidth="1"/>
    <col min="5" max="5" width="8.88671875" style="1"/>
    <col min="6" max="6" width="24" style="1" customWidth="1"/>
    <col min="7" max="7" width="54" style="1" customWidth="1"/>
    <col min="8" max="16384" width="8.88671875" style="1"/>
  </cols>
  <sheetData>
    <row r="1" spans="1:10" ht="23.6" customHeight="1">
      <c r="A1" s="99" t="s">
        <v>31</v>
      </c>
      <c r="B1" s="100"/>
      <c r="C1" s="100"/>
      <c r="D1" s="100"/>
      <c r="E1" s="100"/>
      <c r="F1" s="100"/>
      <c r="G1" s="100"/>
      <c r="H1" s="101"/>
      <c r="J1" s="18"/>
    </row>
    <row r="2" spans="1:10">
      <c r="J2" s="18" t="s">
        <v>32</v>
      </c>
    </row>
    <row r="3" spans="1:10">
      <c r="A3" s="19" t="s">
        <v>33</v>
      </c>
      <c r="B3" s="20" t="s">
        <v>34</v>
      </c>
      <c r="C3" s="20" t="s">
        <v>35</v>
      </c>
      <c r="D3" s="21" t="s">
        <v>36</v>
      </c>
      <c r="F3" s="22" t="s">
        <v>37</v>
      </c>
      <c r="G3" s="23" t="s">
        <v>38</v>
      </c>
      <c r="J3" s="18" t="s">
        <v>39</v>
      </c>
    </row>
    <row r="4" spans="1:10">
      <c r="A4" s="24" t="s">
        <v>9</v>
      </c>
      <c r="B4" s="25">
        <v>66000</v>
      </c>
      <c r="C4" s="26" t="s">
        <v>40</v>
      </c>
      <c r="D4" s="26" t="s">
        <v>41</v>
      </c>
      <c r="F4" s="1" t="s">
        <v>42</v>
      </c>
      <c r="G4" s="26" t="s">
        <v>43</v>
      </c>
      <c r="J4" s="18" t="s">
        <v>44</v>
      </c>
    </row>
    <row r="5" spans="1:10">
      <c r="A5" s="24" t="s">
        <v>45</v>
      </c>
      <c r="B5" s="27">
        <f ca="1">DATE(YEAR(TODAY()),MONTH(TODAY()),1)</f>
        <v>46113</v>
      </c>
      <c r="C5" s="26" t="s">
        <v>46</v>
      </c>
      <c r="D5" s="26" t="s">
        <v>47</v>
      </c>
      <c r="F5" s="1" t="s">
        <v>48</v>
      </c>
      <c r="G5" s="26" t="s">
        <v>49</v>
      </c>
    </row>
    <row r="6" spans="1:10" ht="28.55">
      <c r="A6" s="24" t="s">
        <v>50</v>
      </c>
      <c r="B6" s="28">
        <v>1200</v>
      </c>
      <c r="C6" s="26" t="s">
        <v>51</v>
      </c>
      <c r="D6" s="26" t="s">
        <v>52</v>
      </c>
      <c r="F6" s="1" t="s">
        <v>53</v>
      </c>
      <c r="G6" s="1" t="s">
        <v>54</v>
      </c>
    </row>
    <row r="7" spans="1:10" ht="19.899999999999999" customHeight="1">
      <c r="A7" s="24" t="s">
        <v>55</v>
      </c>
      <c r="B7" s="29">
        <f>IF(B6="",1000,B6)</f>
        <v>1200</v>
      </c>
      <c r="C7" s="26" t="s">
        <v>16</v>
      </c>
      <c r="D7" s="26" t="s">
        <v>56</v>
      </c>
    </row>
    <row r="8" spans="1:10" ht="19.899999999999999" customHeight="1">
      <c r="A8" s="24" t="s">
        <v>57</v>
      </c>
      <c r="B8" s="30">
        <f>B7*12</f>
        <v>14400</v>
      </c>
      <c r="C8" s="26" t="s">
        <v>58</v>
      </c>
      <c r="D8" s="26" t="s">
        <v>59</v>
      </c>
    </row>
    <row r="9" spans="1:10" ht="19.899999999999999" customHeight="1">
      <c r="A9" s="24" t="s">
        <v>60</v>
      </c>
      <c r="B9" s="25">
        <v>1250</v>
      </c>
      <c r="C9" s="26" t="s">
        <v>61</v>
      </c>
      <c r="D9" s="26" t="s">
        <v>62</v>
      </c>
    </row>
    <row r="10" spans="1:10" ht="19.899999999999999" customHeight="1">
      <c r="A10" s="24" t="s">
        <v>63</v>
      </c>
      <c r="B10" s="31">
        <v>904</v>
      </c>
      <c r="C10" s="26" t="s">
        <v>64</v>
      </c>
      <c r="D10" s="26" t="s">
        <v>65</v>
      </c>
    </row>
    <row r="11" spans="1:10" ht="19.899999999999999" customHeight="1">
      <c r="A11" s="24" t="s">
        <v>26</v>
      </c>
      <c r="B11" s="32" t="s">
        <v>32</v>
      </c>
      <c r="C11" s="26" t="s">
        <v>66</v>
      </c>
      <c r="D11" s="26" t="s">
        <v>67</v>
      </c>
    </row>
    <row r="12" spans="1:10" ht="19.899999999999999" customHeight="1">
      <c r="A12" s="24" t="s">
        <v>68</v>
      </c>
      <c r="B12" s="33">
        <v>6.5</v>
      </c>
      <c r="C12" s="26" t="s">
        <v>69</v>
      </c>
      <c r="D12" s="26" t="s">
        <v>70</v>
      </c>
    </row>
    <row r="13" spans="1:10" ht="19.899999999999999" customHeight="1">
      <c r="A13" s="24" t="s">
        <v>71</v>
      </c>
      <c r="B13" s="34">
        <f>IF(B11="Petrol",B14,IF(B11="Diesel",B15,B16))</f>
        <v>15</v>
      </c>
      <c r="C13" s="26" t="s">
        <v>28</v>
      </c>
      <c r="D13" s="26" t="s">
        <v>72</v>
      </c>
    </row>
    <row r="14" spans="1:10" ht="19.899999999999999" customHeight="1">
      <c r="A14" s="24" t="s">
        <v>73</v>
      </c>
      <c r="B14" s="25">
        <v>15</v>
      </c>
      <c r="C14" s="26" t="s">
        <v>28</v>
      </c>
      <c r="D14" s="26" t="s">
        <v>74</v>
      </c>
    </row>
    <row r="15" spans="1:10" ht="19.899999999999999" customHeight="1">
      <c r="A15" s="24" t="s">
        <v>75</v>
      </c>
      <c r="B15" s="31">
        <v>23.16</v>
      </c>
      <c r="C15" s="26" t="s">
        <v>28</v>
      </c>
      <c r="D15" s="26" t="s">
        <v>76</v>
      </c>
    </row>
    <row r="16" spans="1:10" ht="19.899999999999999" customHeight="1">
      <c r="A16" s="24" t="s">
        <v>77</v>
      </c>
      <c r="B16" s="31">
        <v>20</v>
      </c>
      <c r="C16" s="26" t="s">
        <v>28</v>
      </c>
      <c r="D16" s="26" t="s">
        <v>78</v>
      </c>
    </row>
    <row r="17" spans="1:4" ht="19.899999999999999" customHeight="1">
      <c r="A17" s="24" t="s">
        <v>18</v>
      </c>
      <c r="B17" s="35">
        <v>2.5000000000000001E-2</v>
      </c>
      <c r="C17" s="26" t="s">
        <v>79</v>
      </c>
      <c r="D17" s="26" t="s">
        <v>80</v>
      </c>
    </row>
    <row r="18" spans="1:4">
      <c r="A18" s="24" t="s">
        <v>20</v>
      </c>
      <c r="B18" s="36">
        <v>0.05</v>
      </c>
      <c r="C18" s="26" t="s">
        <v>81</v>
      </c>
      <c r="D18" s="26" t="s">
        <v>82</v>
      </c>
    </row>
    <row r="19" spans="1:4" ht="28.55">
      <c r="A19" s="24" t="s">
        <v>83</v>
      </c>
      <c r="B19" s="37">
        <f>(1+B17)^(1/12)-1</f>
        <v>2.0598362698427408E-3</v>
      </c>
      <c r="C19" s="26" t="s">
        <v>84</v>
      </c>
      <c r="D19" s="26" t="s">
        <v>85</v>
      </c>
    </row>
    <row r="20" spans="1:4" ht="28.55">
      <c r="A20" s="24" t="s">
        <v>86</v>
      </c>
      <c r="B20" s="38">
        <f>(1+B18)^(1/12)-1</f>
        <v>4.0741237836483535E-3</v>
      </c>
      <c r="C20" s="26" t="s">
        <v>84</v>
      </c>
      <c r="D20" s="26" t="s">
        <v>87</v>
      </c>
    </row>
    <row r="21" spans="1:4" ht="19.899999999999999" customHeight="1">
      <c r="A21" s="24" t="s">
        <v>88</v>
      </c>
      <c r="B21" s="39">
        <v>120</v>
      </c>
      <c r="C21" s="26" t="s">
        <v>89</v>
      </c>
      <c r="D21" s="26" t="s">
        <v>90</v>
      </c>
    </row>
  </sheetData>
  <mergeCells count="1">
    <mergeCell ref="A1:H1"/>
  </mergeCells>
  <dataValidations count="1">
    <dataValidation type="list" sqref="B11" xr:uid="{00000000-0002-0000-0100-000000000000}">
      <formula1>$J$2:$J$4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5"/>
  <sheetViews>
    <sheetView workbookViewId="0">
      <selection activeCell="B21" sqref="B21"/>
    </sheetView>
  </sheetViews>
  <sheetFormatPr defaultRowHeight="14.3"/>
  <cols>
    <col min="1" max="1" width="24" style="1" customWidth="1"/>
    <col min="2" max="2" width="16" style="1" customWidth="1"/>
    <col min="3" max="7" width="14" style="1" customWidth="1"/>
    <col min="8" max="8" width="36" style="1" customWidth="1"/>
    <col min="9" max="10" width="18" style="1" customWidth="1"/>
    <col min="11" max="16384" width="8.88671875" style="1"/>
  </cols>
  <sheetData>
    <row r="1" spans="1:10" ht="23.6" customHeight="1">
      <c r="A1" s="99" t="s">
        <v>91</v>
      </c>
      <c r="B1" s="100"/>
      <c r="C1" s="100"/>
      <c r="D1" s="100"/>
      <c r="E1" s="100"/>
      <c r="F1" s="100"/>
      <c r="G1" s="100"/>
      <c r="H1" s="100"/>
      <c r="I1" s="100"/>
      <c r="J1" s="101"/>
    </row>
    <row r="2" spans="1:10" ht="43.5" customHeight="1">
      <c r="A2" s="40" t="s">
        <v>92</v>
      </c>
      <c r="B2" s="102" t="s">
        <v>93</v>
      </c>
      <c r="C2" s="103"/>
      <c r="D2" s="103"/>
      <c r="E2" s="103"/>
      <c r="F2" s="103"/>
      <c r="G2" s="103"/>
      <c r="H2" s="103"/>
      <c r="I2" s="103"/>
      <c r="J2" s="104"/>
    </row>
    <row r="3" spans="1:10" ht="43.5" customHeight="1">
      <c r="A3" s="41" t="s">
        <v>94</v>
      </c>
      <c r="B3" s="105" t="s">
        <v>95</v>
      </c>
      <c r="C3" s="106"/>
      <c r="D3" s="106"/>
      <c r="E3" s="106"/>
      <c r="F3" s="106"/>
      <c r="G3" s="106"/>
      <c r="H3" s="106"/>
      <c r="I3" s="106"/>
      <c r="J3" s="107"/>
    </row>
    <row r="5" spans="1:10" ht="28.55">
      <c r="A5" s="42" t="s">
        <v>96</v>
      </c>
      <c r="B5" s="43" t="s">
        <v>97</v>
      </c>
      <c r="C5" s="43" t="s">
        <v>98</v>
      </c>
      <c r="D5" s="43" t="s">
        <v>99</v>
      </c>
      <c r="E5" s="43" t="s">
        <v>100</v>
      </c>
      <c r="F5" s="43" t="s">
        <v>101</v>
      </c>
      <c r="G5" s="43" t="s">
        <v>102</v>
      </c>
      <c r="H5" s="43" t="s">
        <v>103</v>
      </c>
      <c r="I5" s="43" t="s">
        <v>104</v>
      </c>
      <c r="J5" s="44" t="s">
        <v>105</v>
      </c>
    </row>
    <row r="6" spans="1:10" ht="28.55">
      <c r="A6" s="45" t="s">
        <v>106</v>
      </c>
      <c r="B6" s="46" t="s">
        <v>107</v>
      </c>
      <c r="C6" s="47">
        <v>8500</v>
      </c>
      <c r="D6" s="48">
        <v>80</v>
      </c>
      <c r="E6" s="48">
        <v>60000</v>
      </c>
      <c r="F6" s="48">
        <v>60</v>
      </c>
      <c r="G6" s="48">
        <v>90000</v>
      </c>
      <c r="H6" s="49" t="s">
        <v>108</v>
      </c>
      <c r="I6" s="50">
        <f>IF(A6="","",IF(D6&lt;&gt;"",MAX(1,ROUNDUP(D6,0)),IF(AND(E6&lt;&gt;"",Inputs!$B$7&gt;0),MAX(1,ROUNDUP(E6/Inputs!$B$7,0)),"")))</f>
        <v>80</v>
      </c>
      <c r="J6" s="51">
        <f>IF(A6="","",IF(F6&lt;&gt;"",MAX(1,ROUNDUP(F6,0)),IF(AND(G6&lt;&gt;"",Inputs!$B$7&gt;0),MAX(1,ROUNDUP(G6/Inputs!$B$7,0)),"")))</f>
        <v>60</v>
      </c>
    </row>
    <row r="7" spans="1:10" ht="19.05" customHeight="1">
      <c r="A7" s="52" t="s">
        <v>109</v>
      </c>
      <c r="B7" s="53" t="s">
        <v>110</v>
      </c>
      <c r="C7" s="54">
        <v>5000</v>
      </c>
      <c r="D7" s="55">
        <v>24</v>
      </c>
      <c r="E7" s="55">
        <v>30000</v>
      </c>
      <c r="F7" s="55">
        <v>24</v>
      </c>
      <c r="G7" s="55">
        <v>30000</v>
      </c>
      <c r="H7" s="56" t="s">
        <v>111</v>
      </c>
      <c r="I7" s="57">
        <f>IF(A7="","",IF(D7&lt;&gt;"",MAX(1,ROUNDUP(D7,0)),IF(AND(E7&lt;&gt;"",Inputs!$B$7&gt;0),MAX(1,ROUNDUP(E7/Inputs!$B$7,0)),"")))</f>
        <v>24</v>
      </c>
      <c r="J7" s="58">
        <f>IF(A7="","",IF(F7&lt;&gt;"",MAX(1,ROUNDUP(F7,0)),IF(AND(G7&lt;&gt;"",Inputs!$B$7&gt;0),MAX(1,ROUNDUP(G7/Inputs!$B$7,0)),"")))</f>
        <v>24</v>
      </c>
    </row>
    <row r="8" spans="1:10" ht="19.05" customHeight="1">
      <c r="A8" s="52" t="s">
        <v>112</v>
      </c>
      <c r="B8" s="53" t="s">
        <v>113</v>
      </c>
      <c r="C8" s="54">
        <v>1800</v>
      </c>
      <c r="D8" s="55"/>
      <c r="E8" s="55">
        <v>4000</v>
      </c>
      <c r="F8" s="55">
        <v>5</v>
      </c>
      <c r="G8" s="55">
        <v>5000</v>
      </c>
      <c r="H8" s="56" t="s">
        <v>114</v>
      </c>
      <c r="I8" s="57">
        <f>IF(A8="","",IF(D8&lt;&gt;"",MAX(1,ROUNDUP(D8,0)),IF(AND(E8&lt;&gt;"",Inputs!$B$7&gt;0),MAX(1,ROUNDUP(E8/Inputs!$B$7,0)),"")))</f>
        <v>4</v>
      </c>
      <c r="J8" s="58">
        <f>IF(A8="","",IF(F8&lt;&gt;"",MAX(1,ROUNDUP(F8,0)),IF(AND(G8&lt;&gt;"",Inputs!$B$7&gt;0),MAX(1,ROUNDUP(G8/Inputs!$B$7,0)),"")))</f>
        <v>5</v>
      </c>
    </row>
    <row r="9" spans="1:10" ht="19.05" customHeight="1">
      <c r="A9" s="52" t="s">
        <v>115</v>
      </c>
      <c r="B9" s="53" t="s">
        <v>116</v>
      </c>
      <c r="C9" s="54">
        <v>5000</v>
      </c>
      <c r="D9" s="55">
        <v>36</v>
      </c>
      <c r="E9" s="55">
        <v>40000</v>
      </c>
      <c r="F9" s="55">
        <v>36</v>
      </c>
      <c r="G9" s="55">
        <v>40000</v>
      </c>
      <c r="H9" s="56" t="s">
        <v>117</v>
      </c>
      <c r="I9" s="57">
        <f>IF(A9="","",IF(D9&lt;&gt;"",MAX(1,ROUNDUP(D9,0)),IF(AND(E9&lt;&gt;"",Inputs!$B$7&gt;0),MAX(1,ROUNDUP(E9/Inputs!$B$7,0)),"")))</f>
        <v>36</v>
      </c>
      <c r="J9" s="58">
        <f>IF(A9="","",IF(F9&lt;&gt;"",MAX(1,ROUNDUP(F9,0)),IF(AND(G9&lt;&gt;"",Inputs!$B$7&gt;0),MAX(1,ROUNDUP(G9/Inputs!$B$7,0)),"")))</f>
        <v>36</v>
      </c>
    </row>
    <row r="10" spans="1:10" ht="19.05" customHeight="1">
      <c r="A10" s="52" t="s">
        <v>118</v>
      </c>
      <c r="B10" s="53" t="s">
        <v>116</v>
      </c>
      <c r="C10" s="54">
        <v>4500</v>
      </c>
      <c r="D10" s="55">
        <v>48</v>
      </c>
      <c r="E10" s="55">
        <v>50000</v>
      </c>
      <c r="F10" s="55">
        <v>48</v>
      </c>
      <c r="G10" s="55">
        <v>50000</v>
      </c>
      <c r="H10" s="56" t="s">
        <v>119</v>
      </c>
      <c r="I10" s="57">
        <f>IF(A10="","",IF(D10&lt;&gt;"",MAX(1,ROUNDUP(D10,0)),IF(AND(E10&lt;&gt;"",Inputs!$B$7&gt;0),MAX(1,ROUNDUP(E10/Inputs!$B$7,0)),"")))</f>
        <v>48</v>
      </c>
      <c r="J10" s="58">
        <f>IF(A10="","",IF(F10&lt;&gt;"",MAX(1,ROUNDUP(F10,0)),IF(AND(G10&lt;&gt;"",Inputs!$B$7&gt;0),MAX(1,ROUNDUP(G10/Inputs!$B$7,0)),"")))</f>
        <v>48</v>
      </c>
    </row>
    <row r="11" spans="1:10" ht="19.05" customHeight="1">
      <c r="A11" s="52" t="s">
        <v>120</v>
      </c>
      <c r="B11" s="53" t="s">
        <v>121</v>
      </c>
      <c r="C11" s="54">
        <v>500</v>
      </c>
      <c r="D11" s="55">
        <v>1</v>
      </c>
      <c r="E11" s="55"/>
      <c r="F11" s="55">
        <v>1</v>
      </c>
      <c r="G11" s="55"/>
      <c r="H11" s="56" t="s">
        <v>122</v>
      </c>
      <c r="I11" s="57">
        <f>IF(A11="","",IF(D11&lt;&gt;"",MAX(1,ROUNDUP(D11,0)),IF(AND(E11&lt;&gt;"",Inputs!$B$7&gt;0),MAX(1,ROUNDUP(E11/Inputs!$B$7,0)),"")))</f>
        <v>1</v>
      </c>
      <c r="J11" s="58">
        <f>IF(A11="","",IF(F11&lt;&gt;"",MAX(1,ROUNDUP(F11,0)),IF(AND(G11&lt;&gt;"",Inputs!$B$7&gt;0),MAX(1,ROUNDUP(G11/Inputs!$B$7,0)),"")))</f>
        <v>1</v>
      </c>
    </row>
    <row r="12" spans="1:10" ht="19.05" customHeight="1">
      <c r="A12" s="52" t="s">
        <v>123</v>
      </c>
      <c r="B12" s="53" t="s">
        <v>124</v>
      </c>
      <c r="C12" s="54">
        <v>2500</v>
      </c>
      <c r="D12" s="55">
        <v>48</v>
      </c>
      <c r="E12" s="55"/>
      <c r="F12" s="55">
        <v>60</v>
      </c>
      <c r="G12" s="55"/>
      <c r="H12" s="56" t="s">
        <v>125</v>
      </c>
      <c r="I12" s="57">
        <f>IF(A12="","",IF(D12&lt;&gt;"",MAX(1,ROUNDUP(D12,0)),IF(AND(E12&lt;&gt;"",Inputs!$B$7&gt;0),MAX(1,ROUNDUP(E12/Inputs!$B$7,0)),"")))</f>
        <v>48</v>
      </c>
      <c r="J12" s="58">
        <f>IF(A12="","",IF(F12&lt;&gt;"",MAX(1,ROUNDUP(F12,0)),IF(AND(G12&lt;&gt;"",Inputs!$B$7&gt;0),MAX(1,ROUNDUP(G12/Inputs!$B$7,0)),"")))</f>
        <v>60</v>
      </c>
    </row>
    <row r="13" spans="1:10" ht="19.05" customHeight="1">
      <c r="A13" s="52" t="s">
        <v>126</v>
      </c>
      <c r="B13" s="53" t="s">
        <v>127</v>
      </c>
      <c r="C13" s="54">
        <v>2500</v>
      </c>
      <c r="D13" s="55">
        <v>12</v>
      </c>
      <c r="E13" s="55">
        <v>12000</v>
      </c>
      <c r="F13" s="55">
        <v>12</v>
      </c>
      <c r="G13" s="55">
        <v>12000</v>
      </c>
      <c r="H13" s="56" t="s">
        <v>128</v>
      </c>
      <c r="I13" s="57">
        <f>IF(A13="","",IF(D13&lt;&gt;"",MAX(1,ROUNDUP(D13,0)),IF(AND(E13&lt;&gt;"",Inputs!$B$7&gt;0),MAX(1,ROUNDUP(E13/Inputs!$B$7,0)),"")))</f>
        <v>12</v>
      </c>
      <c r="J13" s="58">
        <f>IF(A13="","",IF(F13&lt;&gt;"",MAX(1,ROUNDUP(F13,0)),IF(AND(G13&lt;&gt;"",Inputs!$B$7&gt;0),MAX(1,ROUNDUP(G13/Inputs!$B$7,0)),"")))</f>
        <v>12</v>
      </c>
    </row>
    <row r="14" spans="1:10" ht="19.05" customHeight="1">
      <c r="A14" s="52" t="s">
        <v>129</v>
      </c>
      <c r="B14" s="53" t="s">
        <v>124</v>
      </c>
      <c r="C14" s="54">
        <v>350</v>
      </c>
      <c r="D14" s="55">
        <v>12</v>
      </c>
      <c r="E14" s="55"/>
      <c r="F14" s="55">
        <v>12</v>
      </c>
      <c r="G14" s="55"/>
      <c r="H14" s="56" t="s">
        <v>130</v>
      </c>
      <c r="I14" s="57">
        <f>IF(A14="","",IF(D14&lt;&gt;"",MAX(1,ROUNDUP(D14,0)),IF(AND(E14&lt;&gt;"",Inputs!$B$7&gt;0),MAX(1,ROUNDUP(E14/Inputs!$B$7,0)),"")))</f>
        <v>12</v>
      </c>
      <c r="J14" s="58">
        <f>IF(A14="","",IF(F14&lt;&gt;"",MAX(1,ROUNDUP(F14,0)),IF(AND(G14&lt;&gt;"",Inputs!$B$7&gt;0),MAX(1,ROUNDUP(G14/Inputs!$B$7,0)),"")))</f>
        <v>12</v>
      </c>
    </row>
    <row r="15" spans="1:10" ht="19.05" customHeight="1">
      <c r="A15" s="52" t="s">
        <v>131</v>
      </c>
      <c r="B15" s="53" t="s">
        <v>113</v>
      </c>
      <c r="C15" s="54">
        <v>700</v>
      </c>
      <c r="D15" s="55">
        <v>12</v>
      </c>
      <c r="E15" s="55">
        <v>12000</v>
      </c>
      <c r="F15" s="55">
        <v>12</v>
      </c>
      <c r="G15" s="55">
        <v>12000</v>
      </c>
      <c r="H15" s="56" t="s">
        <v>132</v>
      </c>
      <c r="I15" s="57">
        <f>IF(A15="","",IF(D15&lt;&gt;"",MAX(1,ROUNDUP(D15,0)),IF(AND(E15&lt;&gt;"",Inputs!$B$7&gt;0),MAX(1,ROUNDUP(E15/Inputs!$B$7,0)),"")))</f>
        <v>12</v>
      </c>
      <c r="J15" s="58">
        <f>IF(A15="","",IF(F15&lt;&gt;"",MAX(1,ROUNDUP(F15,0)),IF(AND(G15&lt;&gt;"",Inputs!$B$7&gt;0),MAX(1,ROUNDUP(G15/Inputs!$B$7,0)),"")))</f>
        <v>12</v>
      </c>
    </row>
    <row r="16" spans="1:10" ht="19.05" customHeight="1">
      <c r="A16" s="52" t="s">
        <v>133</v>
      </c>
      <c r="B16" s="53" t="s">
        <v>134</v>
      </c>
      <c r="C16" s="54">
        <v>3000</v>
      </c>
      <c r="D16" s="55">
        <v>18</v>
      </c>
      <c r="E16" s="55"/>
      <c r="F16" s="55">
        <v>24</v>
      </c>
      <c r="G16" s="55"/>
      <c r="H16" s="56" t="s">
        <v>135</v>
      </c>
      <c r="I16" s="57">
        <f>IF(A16="","",IF(D16&lt;&gt;"",MAX(1,ROUNDUP(D16,0)),IF(AND(E16&lt;&gt;"",Inputs!$B$7&gt;0),MAX(1,ROUNDUP(E16/Inputs!$B$7,0)),"")))</f>
        <v>18</v>
      </c>
      <c r="J16" s="58">
        <f>IF(A16="","",IF(F16&lt;&gt;"",MAX(1,ROUNDUP(F16,0)),IF(AND(G16&lt;&gt;"",Inputs!$B$7&gt;0),MAX(1,ROUNDUP(G16/Inputs!$B$7,0)),"")))</f>
        <v>24</v>
      </c>
    </row>
    <row r="17" spans="1:10" ht="19.05" customHeight="1">
      <c r="A17" s="52"/>
      <c r="B17" s="53"/>
      <c r="C17" s="54"/>
      <c r="D17" s="55"/>
      <c r="E17" s="55"/>
      <c r="F17" s="55"/>
      <c r="G17" s="55"/>
      <c r="H17" s="56"/>
      <c r="I17" s="57" t="str">
        <f>IF(A17="","",IF(D17&lt;&gt;"",MAX(1,ROUNDUP(D17,0)),IF(AND(E17&lt;&gt;"",Inputs!$B$7&gt;0),MAX(1,ROUNDUP(E17/Inputs!$B$7,0)),"")))</f>
        <v/>
      </c>
      <c r="J17" s="58" t="str">
        <f>IF(A17="","",IF(F17&lt;&gt;"",MAX(1,ROUNDUP(F17,0)),IF(AND(G17&lt;&gt;"",Inputs!$B$7&gt;0),MAX(1,ROUNDUP(G17/Inputs!$B$7,0)),"")))</f>
        <v/>
      </c>
    </row>
    <row r="18" spans="1:10" ht="19.05" customHeight="1">
      <c r="A18" s="52"/>
      <c r="B18" s="53"/>
      <c r="C18" s="54"/>
      <c r="D18" s="55"/>
      <c r="E18" s="55"/>
      <c r="F18" s="55"/>
      <c r="G18" s="55"/>
      <c r="H18" s="56"/>
      <c r="I18" s="57" t="str">
        <f>IF(A18="","",IF(D18&lt;&gt;"",MAX(1,ROUNDUP(D18,0)),IF(AND(E18&lt;&gt;"",Inputs!$B$7&gt;0),MAX(1,ROUNDUP(E18/Inputs!$B$7,0)),"")))</f>
        <v/>
      </c>
      <c r="J18" s="58" t="str">
        <f>IF(A18="","",IF(F18&lt;&gt;"",MAX(1,ROUNDUP(F18,0)),IF(AND(G18&lt;&gt;"",Inputs!$B$7&gt;0),MAX(1,ROUNDUP(G18/Inputs!$B$7,0)),"")))</f>
        <v/>
      </c>
    </row>
    <row r="19" spans="1:10" ht="19.05" customHeight="1">
      <c r="A19" s="52"/>
      <c r="B19" s="53"/>
      <c r="C19" s="54"/>
      <c r="D19" s="55"/>
      <c r="E19" s="55"/>
      <c r="F19" s="55"/>
      <c r="G19" s="55"/>
      <c r="H19" s="56"/>
      <c r="I19" s="57" t="str">
        <f>IF(A19="","",IF(D19&lt;&gt;"",MAX(1,ROUNDUP(D19,0)),IF(AND(E19&lt;&gt;"",Inputs!$B$7&gt;0),MAX(1,ROUNDUP(E19/Inputs!$B$7,0)),"")))</f>
        <v/>
      </c>
      <c r="J19" s="58" t="str">
        <f>IF(A19="","",IF(F19&lt;&gt;"",MAX(1,ROUNDUP(F19,0)),IF(AND(G19&lt;&gt;"",Inputs!$B$7&gt;0),MAX(1,ROUNDUP(G19/Inputs!$B$7,0)),"")))</f>
        <v/>
      </c>
    </row>
    <row r="20" spans="1:10" ht="19.05" customHeight="1">
      <c r="A20" s="52"/>
      <c r="B20" s="53"/>
      <c r="C20" s="54"/>
      <c r="D20" s="55"/>
      <c r="E20" s="55"/>
      <c r="F20" s="55"/>
      <c r="G20" s="55"/>
      <c r="H20" s="56"/>
      <c r="I20" s="57" t="str">
        <f>IF(A20="","",IF(D20&lt;&gt;"",MAX(1,ROUNDUP(D20,0)),IF(AND(E20&lt;&gt;"",Inputs!$B$7&gt;0),MAX(1,ROUNDUP(E20/Inputs!$B$7,0)),"")))</f>
        <v/>
      </c>
      <c r="J20" s="58" t="str">
        <f>IF(A20="","",IF(F20&lt;&gt;"",MAX(1,ROUNDUP(F20,0)),IF(AND(G20&lt;&gt;"",Inputs!$B$7&gt;0),MAX(1,ROUNDUP(G20/Inputs!$B$7,0)),"")))</f>
        <v/>
      </c>
    </row>
    <row r="21" spans="1:10" ht="19.05" customHeight="1">
      <c r="A21" s="52"/>
      <c r="B21" s="53"/>
      <c r="C21" s="54"/>
      <c r="D21" s="55"/>
      <c r="E21" s="55"/>
      <c r="F21" s="55"/>
      <c r="G21" s="55"/>
      <c r="H21" s="56"/>
      <c r="I21" s="57" t="str">
        <f>IF(A21="","",IF(D21&lt;&gt;"",MAX(1,ROUNDUP(D21,0)),IF(AND(E21&lt;&gt;"",Inputs!$B$7&gt;0),MAX(1,ROUNDUP(E21/Inputs!$B$7,0)),"")))</f>
        <v/>
      </c>
      <c r="J21" s="58" t="str">
        <f>IF(A21="","",IF(F21&lt;&gt;"",MAX(1,ROUNDUP(F21,0)),IF(AND(G21&lt;&gt;"",Inputs!$B$7&gt;0),MAX(1,ROUNDUP(G21/Inputs!$B$7,0)),"")))</f>
        <v/>
      </c>
    </row>
    <row r="22" spans="1:10" ht="19.05" customHeight="1">
      <c r="A22" s="52"/>
      <c r="B22" s="53"/>
      <c r="C22" s="54"/>
      <c r="D22" s="55"/>
      <c r="E22" s="55"/>
      <c r="F22" s="55"/>
      <c r="G22" s="55"/>
      <c r="H22" s="56"/>
      <c r="I22" s="57" t="str">
        <f>IF(A22="","",IF(D22&lt;&gt;"",MAX(1,ROUNDUP(D22,0)),IF(AND(E22&lt;&gt;"",Inputs!$B$7&gt;0),MAX(1,ROUNDUP(E22/Inputs!$B$7,0)),"")))</f>
        <v/>
      </c>
      <c r="J22" s="58" t="str">
        <f>IF(A22="","",IF(F22&lt;&gt;"",MAX(1,ROUNDUP(F22,0)),IF(AND(G22&lt;&gt;"",Inputs!$B$7&gt;0),MAX(1,ROUNDUP(G22/Inputs!$B$7,0)),"")))</f>
        <v/>
      </c>
    </row>
    <row r="23" spans="1:10" ht="19.05" customHeight="1">
      <c r="A23" s="52"/>
      <c r="B23" s="53"/>
      <c r="C23" s="54"/>
      <c r="D23" s="55"/>
      <c r="E23" s="55"/>
      <c r="F23" s="55"/>
      <c r="G23" s="55"/>
      <c r="H23" s="56"/>
      <c r="I23" s="57" t="str">
        <f>IF(A23="","",IF(D23&lt;&gt;"",MAX(1,ROUNDUP(D23,0)),IF(AND(E23&lt;&gt;"",Inputs!$B$7&gt;0),MAX(1,ROUNDUP(E23/Inputs!$B$7,0)),"")))</f>
        <v/>
      </c>
      <c r="J23" s="58" t="str">
        <f>IF(A23="","",IF(F23&lt;&gt;"",MAX(1,ROUNDUP(F23,0)),IF(AND(G23&lt;&gt;"",Inputs!$B$7&gt;0),MAX(1,ROUNDUP(G23/Inputs!$B$7,0)),"")))</f>
        <v/>
      </c>
    </row>
    <row r="24" spans="1:10" ht="19.05" customHeight="1">
      <c r="A24" s="52"/>
      <c r="B24" s="53"/>
      <c r="C24" s="54"/>
      <c r="D24" s="55"/>
      <c r="E24" s="55"/>
      <c r="F24" s="55"/>
      <c r="G24" s="55"/>
      <c r="H24" s="56"/>
      <c r="I24" s="57" t="str">
        <f>IF(A24="","",IF(D24&lt;&gt;"",MAX(1,ROUNDUP(D24,0)),IF(AND(E24&lt;&gt;"",Inputs!$B$7&gt;0),MAX(1,ROUNDUP(E24/Inputs!$B$7,0)),"")))</f>
        <v/>
      </c>
      <c r="J24" s="58" t="str">
        <f>IF(A24="","",IF(F24&lt;&gt;"",MAX(1,ROUNDUP(F24,0)),IF(AND(G24&lt;&gt;"",Inputs!$B$7&gt;0),MAX(1,ROUNDUP(G24/Inputs!$B$7,0)),"")))</f>
        <v/>
      </c>
    </row>
    <row r="25" spans="1:10" ht="19.05" customHeight="1">
      <c r="A25" s="52"/>
      <c r="B25" s="53"/>
      <c r="C25" s="54"/>
      <c r="D25" s="55"/>
      <c r="E25" s="55"/>
      <c r="F25" s="55"/>
      <c r="G25" s="55"/>
      <c r="H25" s="56"/>
      <c r="I25" s="57" t="str">
        <f>IF(A25="","",IF(D25&lt;&gt;"",MAX(1,ROUNDUP(D25,0)),IF(AND(E25&lt;&gt;"",Inputs!$B$7&gt;0),MAX(1,ROUNDUP(E25/Inputs!$B$7,0)),"")))</f>
        <v/>
      </c>
      <c r="J25" s="58" t="str">
        <f>IF(A25="","",IF(F25&lt;&gt;"",MAX(1,ROUNDUP(F25,0)),IF(AND(G25&lt;&gt;"",Inputs!$B$7&gt;0),MAX(1,ROUNDUP(G25/Inputs!$B$7,0)),"")))</f>
        <v/>
      </c>
    </row>
    <row r="26" spans="1:10" ht="19.05" customHeight="1">
      <c r="A26" s="52"/>
      <c r="B26" s="53"/>
      <c r="C26" s="54"/>
      <c r="D26" s="55"/>
      <c r="E26" s="55"/>
      <c r="F26" s="55"/>
      <c r="G26" s="55"/>
      <c r="H26" s="56"/>
      <c r="I26" s="57" t="str">
        <f>IF(A26="","",IF(D26&lt;&gt;"",MAX(1,ROUNDUP(D26,0)),IF(AND(E26&lt;&gt;"",Inputs!$B$7&gt;0),MAX(1,ROUNDUP(E26/Inputs!$B$7,0)),"")))</f>
        <v/>
      </c>
      <c r="J26" s="58" t="str">
        <f>IF(A26="","",IF(F26&lt;&gt;"",MAX(1,ROUNDUP(F26,0)),IF(AND(G26&lt;&gt;"",Inputs!$B$7&gt;0),MAX(1,ROUNDUP(G26/Inputs!$B$7,0)),"")))</f>
        <v/>
      </c>
    </row>
    <row r="27" spans="1:10" ht="19.05" customHeight="1">
      <c r="A27" s="52"/>
      <c r="B27" s="53"/>
      <c r="C27" s="54"/>
      <c r="D27" s="55"/>
      <c r="E27" s="55"/>
      <c r="F27" s="55"/>
      <c r="G27" s="55"/>
      <c r="H27" s="56"/>
      <c r="I27" s="57" t="str">
        <f>IF(A27="","",IF(D27&lt;&gt;"",MAX(1,ROUNDUP(D27,0)),IF(AND(E27&lt;&gt;"",Inputs!$B$7&gt;0),MAX(1,ROUNDUP(E27/Inputs!$B$7,0)),"")))</f>
        <v/>
      </c>
      <c r="J27" s="58" t="str">
        <f>IF(A27="","",IF(F27&lt;&gt;"",MAX(1,ROUNDUP(F27,0)),IF(AND(G27&lt;&gt;"",Inputs!$B$7&gt;0),MAX(1,ROUNDUP(G27/Inputs!$B$7,0)),"")))</f>
        <v/>
      </c>
    </row>
    <row r="28" spans="1:10" ht="19.05" customHeight="1">
      <c r="A28" s="52"/>
      <c r="B28" s="53"/>
      <c r="C28" s="54"/>
      <c r="D28" s="55"/>
      <c r="E28" s="55"/>
      <c r="F28" s="55"/>
      <c r="G28" s="55"/>
      <c r="H28" s="56"/>
      <c r="I28" s="57" t="str">
        <f>IF(A28="","",IF(D28&lt;&gt;"",MAX(1,ROUNDUP(D28,0)),IF(AND(E28&lt;&gt;"",Inputs!$B$7&gt;0),MAX(1,ROUNDUP(E28/Inputs!$B$7,0)),"")))</f>
        <v/>
      </c>
      <c r="J28" s="58" t="str">
        <f>IF(A28="","",IF(F28&lt;&gt;"",MAX(1,ROUNDUP(F28,0)),IF(AND(G28&lt;&gt;"",Inputs!$B$7&gt;0),MAX(1,ROUNDUP(G28/Inputs!$B$7,0)),"")))</f>
        <v/>
      </c>
    </row>
    <row r="29" spans="1:10" ht="19.05" customHeight="1">
      <c r="A29" s="52"/>
      <c r="B29" s="53"/>
      <c r="C29" s="54"/>
      <c r="D29" s="55"/>
      <c r="E29" s="55"/>
      <c r="F29" s="55"/>
      <c r="G29" s="55"/>
      <c r="H29" s="56"/>
      <c r="I29" s="57" t="str">
        <f>IF(A29="","",IF(D29&lt;&gt;"",MAX(1,ROUNDUP(D29,0)),IF(AND(E29&lt;&gt;"",Inputs!$B$7&gt;0),MAX(1,ROUNDUP(E29/Inputs!$B$7,0)),"")))</f>
        <v/>
      </c>
      <c r="J29" s="58" t="str">
        <f>IF(A29="","",IF(F29&lt;&gt;"",MAX(1,ROUNDUP(F29,0)),IF(AND(G29&lt;&gt;"",Inputs!$B$7&gt;0),MAX(1,ROUNDUP(G29/Inputs!$B$7,0)),"")))</f>
        <v/>
      </c>
    </row>
    <row r="30" spans="1:10" ht="19.05" customHeight="1">
      <c r="A30" s="52"/>
      <c r="B30" s="53"/>
      <c r="C30" s="54"/>
      <c r="D30" s="55"/>
      <c r="E30" s="55"/>
      <c r="F30" s="55"/>
      <c r="G30" s="55"/>
      <c r="H30" s="56"/>
      <c r="I30" s="57" t="str">
        <f>IF(A30="","",IF(D30&lt;&gt;"",MAX(1,ROUNDUP(D30,0)),IF(AND(E30&lt;&gt;"",Inputs!$B$7&gt;0),MAX(1,ROUNDUP(E30/Inputs!$B$7,0)),"")))</f>
        <v/>
      </c>
      <c r="J30" s="58" t="str">
        <f>IF(A30="","",IF(F30&lt;&gt;"",MAX(1,ROUNDUP(F30,0)),IF(AND(G30&lt;&gt;"",Inputs!$B$7&gt;0),MAX(1,ROUNDUP(G30/Inputs!$B$7,0)),"")))</f>
        <v/>
      </c>
    </row>
    <row r="31" spans="1:10" ht="19.05" customHeight="1">
      <c r="A31" s="52"/>
      <c r="B31" s="53"/>
      <c r="C31" s="54"/>
      <c r="D31" s="55"/>
      <c r="E31" s="55"/>
      <c r="F31" s="55"/>
      <c r="G31" s="55"/>
      <c r="H31" s="56"/>
      <c r="I31" s="57" t="str">
        <f>IF(A31="","",IF(D31&lt;&gt;"",MAX(1,ROUNDUP(D31,0)),IF(AND(E31&lt;&gt;"",Inputs!$B$7&gt;0),MAX(1,ROUNDUP(E31/Inputs!$B$7,0)),"")))</f>
        <v/>
      </c>
      <c r="J31" s="58" t="str">
        <f>IF(A31="","",IF(F31&lt;&gt;"",MAX(1,ROUNDUP(F31,0)),IF(AND(G31&lt;&gt;"",Inputs!$B$7&gt;0),MAX(1,ROUNDUP(G31/Inputs!$B$7,0)),"")))</f>
        <v/>
      </c>
    </row>
    <row r="32" spans="1:10" ht="19.05" customHeight="1">
      <c r="A32" s="52"/>
      <c r="B32" s="53"/>
      <c r="C32" s="54"/>
      <c r="D32" s="55"/>
      <c r="E32" s="55"/>
      <c r="F32" s="55"/>
      <c r="G32" s="55"/>
      <c r="H32" s="56"/>
      <c r="I32" s="57" t="str">
        <f>IF(A32="","",IF(D32&lt;&gt;"",MAX(1,ROUNDUP(D32,0)),IF(AND(E32&lt;&gt;"",Inputs!$B$7&gt;0),MAX(1,ROUNDUP(E32/Inputs!$B$7,0)),"")))</f>
        <v/>
      </c>
      <c r="J32" s="58" t="str">
        <f>IF(A32="","",IF(F32&lt;&gt;"",MAX(1,ROUNDUP(F32,0)),IF(AND(G32&lt;&gt;"",Inputs!$B$7&gt;0),MAX(1,ROUNDUP(G32/Inputs!$B$7,0)),"")))</f>
        <v/>
      </c>
    </row>
    <row r="33" spans="1:10" ht="19.05" customHeight="1">
      <c r="A33" s="52"/>
      <c r="B33" s="53"/>
      <c r="C33" s="54"/>
      <c r="D33" s="55"/>
      <c r="E33" s="55"/>
      <c r="F33" s="55"/>
      <c r="G33" s="55"/>
      <c r="H33" s="56"/>
      <c r="I33" s="57" t="str">
        <f>IF(A33="","",IF(D33&lt;&gt;"",MAX(1,ROUNDUP(D33,0)),IF(AND(E33&lt;&gt;"",Inputs!$B$7&gt;0),MAX(1,ROUNDUP(E33/Inputs!$B$7,0)),"")))</f>
        <v/>
      </c>
      <c r="J33" s="58" t="str">
        <f>IF(A33="","",IF(F33&lt;&gt;"",MAX(1,ROUNDUP(F33,0)),IF(AND(G33&lt;&gt;"",Inputs!$B$7&gt;0),MAX(1,ROUNDUP(G33/Inputs!$B$7,0)),"")))</f>
        <v/>
      </c>
    </row>
    <row r="34" spans="1:10" ht="19.05" customHeight="1">
      <c r="A34" s="52"/>
      <c r="B34" s="53"/>
      <c r="C34" s="54"/>
      <c r="D34" s="55"/>
      <c r="E34" s="55"/>
      <c r="F34" s="55"/>
      <c r="G34" s="55"/>
      <c r="H34" s="56"/>
      <c r="I34" s="57" t="str">
        <f>IF(A34="","",IF(D34&lt;&gt;"",MAX(1,ROUNDUP(D34,0)),IF(AND(E34&lt;&gt;"",Inputs!$B$7&gt;0),MAX(1,ROUNDUP(E34/Inputs!$B$7,0)),"")))</f>
        <v/>
      </c>
      <c r="J34" s="58" t="str">
        <f>IF(A34="","",IF(F34&lt;&gt;"",MAX(1,ROUNDUP(F34,0)),IF(AND(G34&lt;&gt;"",Inputs!$B$7&gt;0),MAX(1,ROUNDUP(G34/Inputs!$B$7,0)),"")))</f>
        <v/>
      </c>
    </row>
    <row r="35" spans="1:10" ht="19.05" customHeight="1">
      <c r="A35" s="52"/>
      <c r="B35" s="53"/>
      <c r="C35" s="54"/>
      <c r="D35" s="55"/>
      <c r="E35" s="55"/>
      <c r="F35" s="55"/>
      <c r="G35" s="55"/>
      <c r="H35" s="56"/>
      <c r="I35" s="57" t="str">
        <f>IF(A35="","",IF(D35&lt;&gt;"",MAX(1,ROUNDUP(D35,0)),IF(AND(E35&lt;&gt;"",Inputs!$B$7&gt;0),MAX(1,ROUNDUP(E35/Inputs!$B$7,0)),"")))</f>
        <v/>
      </c>
      <c r="J35" s="58" t="str">
        <f>IF(A35="","",IF(F35&lt;&gt;"",MAX(1,ROUNDUP(F35,0)),IF(AND(G35&lt;&gt;"",Inputs!$B$7&gt;0),MAX(1,ROUNDUP(G35/Inputs!$B$7,0)),"")))</f>
        <v/>
      </c>
    </row>
    <row r="36" spans="1:10" ht="19.05" customHeight="1">
      <c r="A36" s="52"/>
      <c r="B36" s="53"/>
      <c r="C36" s="54"/>
      <c r="D36" s="55"/>
      <c r="E36" s="55"/>
      <c r="F36" s="55"/>
      <c r="G36" s="55"/>
      <c r="H36" s="56"/>
      <c r="I36" s="57" t="str">
        <f>IF(A36="","",IF(D36&lt;&gt;"",MAX(1,ROUNDUP(D36,0)),IF(AND(E36&lt;&gt;"",Inputs!$B$7&gt;0),MAX(1,ROUNDUP(E36/Inputs!$B$7,0)),"")))</f>
        <v/>
      </c>
      <c r="J36" s="58" t="str">
        <f>IF(A36="","",IF(F36&lt;&gt;"",MAX(1,ROUNDUP(F36,0)),IF(AND(G36&lt;&gt;"",Inputs!$B$7&gt;0),MAX(1,ROUNDUP(G36/Inputs!$B$7,0)),"")))</f>
        <v/>
      </c>
    </row>
    <row r="37" spans="1:10" ht="19.05" customHeight="1">
      <c r="A37" s="52"/>
      <c r="B37" s="53"/>
      <c r="C37" s="54"/>
      <c r="D37" s="55"/>
      <c r="E37" s="55"/>
      <c r="F37" s="55"/>
      <c r="G37" s="55"/>
      <c r="H37" s="56"/>
      <c r="I37" s="57" t="str">
        <f>IF(A37="","",IF(D37&lt;&gt;"",MAX(1,ROUNDUP(D37,0)),IF(AND(E37&lt;&gt;"",Inputs!$B$7&gt;0),MAX(1,ROUNDUP(E37/Inputs!$B$7,0)),"")))</f>
        <v/>
      </c>
      <c r="J37" s="58" t="str">
        <f>IF(A37="","",IF(F37&lt;&gt;"",MAX(1,ROUNDUP(F37,0)),IF(AND(G37&lt;&gt;"",Inputs!$B$7&gt;0),MAX(1,ROUNDUP(G37/Inputs!$B$7,0)),"")))</f>
        <v/>
      </c>
    </row>
    <row r="38" spans="1:10" ht="19.05" customHeight="1">
      <c r="A38" s="52"/>
      <c r="B38" s="53"/>
      <c r="C38" s="54"/>
      <c r="D38" s="55"/>
      <c r="E38" s="55"/>
      <c r="F38" s="55"/>
      <c r="G38" s="55"/>
      <c r="H38" s="56"/>
      <c r="I38" s="57" t="str">
        <f>IF(A38="","",IF(D38&lt;&gt;"",MAX(1,ROUNDUP(D38,0)),IF(AND(E38&lt;&gt;"",Inputs!$B$7&gt;0),MAX(1,ROUNDUP(E38/Inputs!$B$7,0)),"")))</f>
        <v/>
      </c>
      <c r="J38" s="58" t="str">
        <f>IF(A38="","",IF(F38&lt;&gt;"",MAX(1,ROUNDUP(F38,0)),IF(AND(G38&lt;&gt;"",Inputs!$B$7&gt;0),MAX(1,ROUNDUP(G38/Inputs!$B$7,0)),"")))</f>
        <v/>
      </c>
    </row>
    <row r="39" spans="1:10" ht="19.05" customHeight="1">
      <c r="A39" s="52"/>
      <c r="B39" s="53"/>
      <c r="C39" s="54"/>
      <c r="D39" s="55"/>
      <c r="E39" s="55"/>
      <c r="F39" s="55"/>
      <c r="G39" s="55"/>
      <c r="H39" s="56"/>
      <c r="I39" s="57" t="str">
        <f>IF(A39="","",IF(D39&lt;&gt;"",MAX(1,ROUNDUP(D39,0)),IF(AND(E39&lt;&gt;"",Inputs!$B$7&gt;0),MAX(1,ROUNDUP(E39/Inputs!$B$7,0)),"")))</f>
        <v/>
      </c>
      <c r="J39" s="58" t="str">
        <f>IF(A39="","",IF(F39&lt;&gt;"",MAX(1,ROUNDUP(F39,0)),IF(AND(G39&lt;&gt;"",Inputs!$B$7&gt;0),MAX(1,ROUNDUP(G39/Inputs!$B$7,0)),"")))</f>
        <v/>
      </c>
    </row>
    <row r="40" spans="1:10" ht="19.05" customHeight="1">
      <c r="A40" s="52"/>
      <c r="B40" s="53"/>
      <c r="C40" s="54"/>
      <c r="D40" s="55"/>
      <c r="E40" s="55"/>
      <c r="F40" s="55"/>
      <c r="G40" s="55"/>
      <c r="H40" s="56"/>
      <c r="I40" s="57" t="str">
        <f>IF(A40="","",IF(D40&lt;&gt;"",MAX(1,ROUNDUP(D40,0)),IF(AND(E40&lt;&gt;"",Inputs!$B$7&gt;0),MAX(1,ROUNDUP(E40/Inputs!$B$7,0)),"")))</f>
        <v/>
      </c>
      <c r="J40" s="58" t="str">
        <f>IF(A40="","",IF(F40&lt;&gt;"",MAX(1,ROUNDUP(F40,0)),IF(AND(G40&lt;&gt;"",Inputs!$B$7&gt;0),MAX(1,ROUNDUP(G40/Inputs!$B$7,0)),"")))</f>
        <v/>
      </c>
    </row>
    <row r="41" spans="1:10" ht="19.05" customHeight="1">
      <c r="A41" s="52"/>
      <c r="B41" s="53"/>
      <c r="C41" s="54"/>
      <c r="D41" s="55"/>
      <c r="E41" s="55"/>
      <c r="F41" s="55"/>
      <c r="G41" s="55"/>
      <c r="H41" s="56"/>
      <c r="I41" s="57" t="str">
        <f>IF(A41="","",IF(D41&lt;&gt;"",MAX(1,ROUNDUP(D41,0)),IF(AND(E41&lt;&gt;"",Inputs!$B$7&gt;0),MAX(1,ROUNDUP(E41/Inputs!$B$7,0)),"")))</f>
        <v/>
      </c>
      <c r="J41" s="58" t="str">
        <f>IF(A41="","",IF(F41&lt;&gt;"",MAX(1,ROUNDUP(F41,0)),IF(AND(G41&lt;&gt;"",Inputs!$B$7&gt;0),MAX(1,ROUNDUP(G41/Inputs!$B$7,0)),"")))</f>
        <v/>
      </c>
    </row>
    <row r="42" spans="1:10" ht="19.05" customHeight="1">
      <c r="A42" s="52"/>
      <c r="B42" s="53"/>
      <c r="C42" s="54"/>
      <c r="D42" s="55"/>
      <c r="E42" s="55"/>
      <c r="F42" s="55"/>
      <c r="G42" s="55"/>
      <c r="H42" s="56"/>
      <c r="I42" s="57" t="str">
        <f>IF(A42="","",IF(D42&lt;&gt;"",MAX(1,ROUNDUP(D42,0)),IF(AND(E42&lt;&gt;"",Inputs!$B$7&gt;0),MAX(1,ROUNDUP(E42/Inputs!$B$7,0)),"")))</f>
        <v/>
      </c>
      <c r="J42" s="58" t="str">
        <f>IF(A42="","",IF(F42&lt;&gt;"",MAX(1,ROUNDUP(F42,0)),IF(AND(G42&lt;&gt;"",Inputs!$B$7&gt;0),MAX(1,ROUNDUP(G42/Inputs!$B$7,0)),"")))</f>
        <v/>
      </c>
    </row>
    <row r="43" spans="1:10" ht="19.05" customHeight="1">
      <c r="A43" s="52"/>
      <c r="B43" s="53"/>
      <c r="C43" s="54"/>
      <c r="D43" s="55"/>
      <c r="E43" s="55"/>
      <c r="F43" s="55"/>
      <c r="G43" s="55"/>
      <c r="H43" s="56"/>
      <c r="I43" s="57" t="str">
        <f>IF(A43="","",IF(D43&lt;&gt;"",MAX(1,ROUNDUP(D43,0)),IF(AND(E43&lt;&gt;"",Inputs!$B$7&gt;0),MAX(1,ROUNDUP(E43/Inputs!$B$7,0)),"")))</f>
        <v/>
      </c>
      <c r="J43" s="58" t="str">
        <f>IF(A43="","",IF(F43&lt;&gt;"",MAX(1,ROUNDUP(F43,0)),IF(AND(G43&lt;&gt;"",Inputs!$B$7&gt;0),MAX(1,ROUNDUP(G43/Inputs!$B$7,0)),"")))</f>
        <v/>
      </c>
    </row>
    <row r="44" spans="1:10" ht="19.05" customHeight="1">
      <c r="A44" s="52"/>
      <c r="B44" s="53"/>
      <c r="C44" s="54"/>
      <c r="D44" s="55"/>
      <c r="E44" s="55"/>
      <c r="F44" s="55"/>
      <c r="G44" s="55"/>
      <c r="H44" s="56"/>
      <c r="I44" s="57" t="str">
        <f>IF(A44="","",IF(D44&lt;&gt;"",MAX(1,ROUNDUP(D44,0)),IF(AND(E44&lt;&gt;"",Inputs!$B$7&gt;0),MAX(1,ROUNDUP(E44/Inputs!$B$7,0)),"")))</f>
        <v/>
      </c>
      <c r="J44" s="58" t="str">
        <f>IF(A44="","",IF(F44&lt;&gt;"",MAX(1,ROUNDUP(F44,0)),IF(AND(G44&lt;&gt;"",Inputs!$B$7&gt;0),MAX(1,ROUNDUP(G44/Inputs!$B$7,0)),"")))</f>
        <v/>
      </c>
    </row>
    <row r="45" spans="1:10" ht="19.05" customHeight="1">
      <c r="A45" s="52"/>
      <c r="B45" s="53"/>
      <c r="C45" s="54"/>
      <c r="D45" s="55"/>
      <c r="E45" s="55"/>
      <c r="F45" s="55"/>
      <c r="G45" s="55"/>
      <c r="H45" s="56"/>
      <c r="I45" s="57" t="str">
        <f>IF(A45="","",IF(D45&lt;&gt;"",MAX(1,ROUNDUP(D45,0)),IF(AND(E45&lt;&gt;"",Inputs!$B$7&gt;0),MAX(1,ROUNDUP(E45/Inputs!$B$7,0)),"")))</f>
        <v/>
      </c>
      <c r="J45" s="58" t="str">
        <f>IF(A45="","",IF(F45&lt;&gt;"",MAX(1,ROUNDUP(F45,0)),IF(AND(G45&lt;&gt;"",Inputs!$B$7&gt;0),MAX(1,ROUNDUP(G45/Inputs!$B$7,0)),"")))</f>
        <v/>
      </c>
    </row>
    <row r="46" spans="1:10" ht="19.05" customHeight="1">
      <c r="A46" s="52"/>
      <c r="B46" s="53"/>
      <c r="C46" s="54"/>
      <c r="D46" s="55"/>
      <c r="E46" s="55"/>
      <c r="F46" s="55"/>
      <c r="G46" s="55"/>
      <c r="H46" s="56"/>
      <c r="I46" s="57" t="str">
        <f>IF(A46="","",IF(D46&lt;&gt;"",MAX(1,ROUNDUP(D46,0)),IF(AND(E46&lt;&gt;"",Inputs!$B$7&gt;0),MAX(1,ROUNDUP(E46/Inputs!$B$7,0)),"")))</f>
        <v/>
      </c>
      <c r="J46" s="58" t="str">
        <f>IF(A46="","",IF(F46&lt;&gt;"",MAX(1,ROUNDUP(F46,0)),IF(AND(G46&lt;&gt;"",Inputs!$B$7&gt;0),MAX(1,ROUNDUP(G46/Inputs!$B$7,0)),"")))</f>
        <v/>
      </c>
    </row>
    <row r="47" spans="1:10" ht="19.05" customHeight="1">
      <c r="A47" s="52"/>
      <c r="B47" s="53"/>
      <c r="C47" s="54"/>
      <c r="D47" s="55"/>
      <c r="E47" s="55"/>
      <c r="F47" s="55"/>
      <c r="G47" s="55"/>
      <c r="H47" s="56"/>
      <c r="I47" s="57" t="str">
        <f>IF(A47="","",IF(D47&lt;&gt;"",MAX(1,ROUNDUP(D47,0)),IF(AND(E47&lt;&gt;"",Inputs!$B$7&gt;0),MAX(1,ROUNDUP(E47/Inputs!$B$7,0)),"")))</f>
        <v/>
      </c>
      <c r="J47" s="58" t="str">
        <f>IF(A47="","",IF(F47&lt;&gt;"",MAX(1,ROUNDUP(F47,0)),IF(AND(G47&lt;&gt;"",Inputs!$B$7&gt;0),MAX(1,ROUNDUP(G47/Inputs!$B$7,0)),"")))</f>
        <v/>
      </c>
    </row>
    <row r="48" spans="1:10" ht="19.05" customHeight="1">
      <c r="A48" s="52"/>
      <c r="B48" s="53"/>
      <c r="C48" s="54"/>
      <c r="D48" s="55"/>
      <c r="E48" s="55"/>
      <c r="F48" s="55"/>
      <c r="G48" s="55"/>
      <c r="H48" s="56"/>
      <c r="I48" s="57" t="str">
        <f>IF(A48="","",IF(D48&lt;&gt;"",MAX(1,ROUNDUP(D48,0)),IF(AND(E48&lt;&gt;"",Inputs!$B$7&gt;0),MAX(1,ROUNDUP(E48/Inputs!$B$7,0)),"")))</f>
        <v/>
      </c>
      <c r="J48" s="58" t="str">
        <f>IF(A48="","",IF(F48&lt;&gt;"",MAX(1,ROUNDUP(F48,0)),IF(AND(G48&lt;&gt;"",Inputs!$B$7&gt;0),MAX(1,ROUNDUP(G48/Inputs!$B$7,0)),"")))</f>
        <v/>
      </c>
    </row>
    <row r="49" spans="1:10" ht="19.05" customHeight="1">
      <c r="A49" s="52"/>
      <c r="B49" s="53"/>
      <c r="C49" s="54"/>
      <c r="D49" s="55"/>
      <c r="E49" s="55"/>
      <c r="F49" s="55"/>
      <c r="G49" s="55"/>
      <c r="H49" s="56"/>
      <c r="I49" s="57" t="str">
        <f>IF(A49="","",IF(D49&lt;&gt;"",MAX(1,ROUNDUP(D49,0)),IF(AND(E49&lt;&gt;"",Inputs!$B$7&gt;0),MAX(1,ROUNDUP(E49/Inputs!$B$7,0)),"")))</f>
        <v/>
      </c>
      <c r="J49" s="58" t="str">
        <f>IF(A49="","",IF(F49&lt;&gt;"",MAX(1,ROUNDUP(F49,0)),IF(AND(G49&lt;&gt;"",Inputs!$B$7&gt;0),MAX(1,ROUNDUP(G49/Inputs!$B$7,0)),"")))</f>
        <v/>
      </c>
    </row>
    <row r="50" spans="1:10" ht="19.05" customHeight="1">
      <c r="A50" s="52"/>
      <c r="B50" s="53"/>
      <c r="C50" s="54"/>
      <c r="D50" s="55"/>
      <c r="E50" s="55"/>
      <c r="F50" s="55"/>
      <c r="G50" s="55"/>
      <c r="H50" s="56"/>
      <c r="I50" s="57" t="str">
        <f>IF(A50="","",IF(D50&lt;&gt;"",MAX(1,ROUNDUP(D50,0)),IF(AND(E50&lt;&gt;"",Inputs!$B$7&gt;0),MAX(1,ROUNDUP(E50/Inputs!$B$7,0)),"")))</f>
        <v/>
      </c>
      <c r="J50" s="58" t="str">
        <f>IF(A50="","",IF(F50&lt;&gt;"",MAX(1,ROUNDUP(F50,0)),IF(AND(G50&lt;&gt;"",Inputs!$B$7&gt;0),MAX(1,ROUNDUP(G50/Inputs!$B$7,0)),"")))</f>
        <v/>
      </c>
    </row>
    <row r="51" spans="1:10" ht="19.05" customHeight="1">
      <c r="A51" s="52"/>
      <c r="B51" s="53"/>
      <c r="C51" s="54"/>
      <c r="D51" s="55"/>
      <c r="E51" s="55"/>
      <c r="F51" s="55"/>
      <c r="G51" s="55"/>
      <c r="H51" s="56"/>
      <c r="I51" s="57" t="str">
        <f>IF(A51="","",IF(D51&lt;&gt;"",MAX(1,ROUNDUP(D51,0)),IF(AND(E51&lt;&gt;"",Inputs!$B$7&gt;0),MAX(1,ROUNDUP(E51/Inputs!$B$7,0)),"")))</f>
        <v/>
      </c>
      <c r="J51" s="58" t="str">
        <f>IF(A51="","",IF(F51&lt;&gt;"",MAX(1,ROUNDUP(F51,0)),IF(AND(G51&lt;&gt;"",Inputs!$B$7&gt;0),MAX(1,ROUNDUP(G51/Inputs!$B$7,0)),"")))</f>
        <v/>
      </c>
    </row>
    <row r="52" spans="1:10" ht="19.05" customHeight="1">
      <c r="A52" s="52"/>
      <c r="B52" s="53"/>
      <c r="C52" s="54"/>
      <c r="D52" s="55"/>
      <c r="E52" s="55"/>
      <c r="F52" s="55"/>
      <c r="G52" s="55"/>
      <c r="H52" s="56"/>
      <c r="I52" s="57" t="str">
        <f>IF(A52="","",IF(D52&lt;&gt;"",MAX(1,ROUNDUP(D52,0)),IF(AND(E52&lt;&gt;"",Inputs!$B$7&gt;0),MAX(1,ROUNDUP(E52/Inputs!$B$7,0)),"")))</f>
        <v/>
      </c>
      <c r="J52" s="58" t="str">
        <f>IF(A52="","",IF(F52&lt;&gt;"",MAX(1,ROUNDUP(F52,0)),IF(AND(G52&lt;&gt;"",Inputs!$B$7&gt;0),MAX(1,ROUNDUP(G52/Inputs!$B$7,0)),"")))</f>
        <v/>
      </c>
    </row>
    <row r="53" spans="1:10" ht="19.05" customHeight="1">
      <c r="A53" s="52"/>
      <c r="B53" s="53"/>
      <c r="C53" s="54"/>
      <c r="D53" s="55"/>
      <c r="E53" s="55"/>
      <c r="F53" s="55"/>
      <c r="G53" s="55"/>
      <c r="H53" s="56"/>
      <c r="I53" s="57" t="str">
        <f>IF(A53="","",IF(D53&lt;&gt;"",MAX(1,ROUNDUP(D53,0)),IF(AND(E53&lt;&gt;"",Inputs!$B$7&gt;0),MAX(1,ROUNDUP(E53/Inputs!$B$7,0)),"")))</f>
        <v/>
      </c>
      <c r="J53" s="58" t="str">
        <f>IF(A53="","",IF(F53&lt;&gt;"",MAX(1,ROUNDUP(F53,0)),IF(AND(G53&lt;&gt;"",Inputs!$B$7&gt;0),MAX(1,ROUNDUP(G53/Inputs!$B$7,0)),"")))</f>
        <v/>
      </c>
    </row>
    <row r="54" spans="1:10" ht="19.05" customHeight="1">
      <c r="A54" s="52"/>
      <c r="B54" s="53"/>
      <c r="C54" s="54"/>
      <c r="D54" s="55"/>
      <c r="E54" s="55"/>
      <c r="F54" s="55"/>
      <c r="G54" s="55"/>
      <c r="H54" s="56"/>
      <c r="I54" s="57" t="str">
        <f>IF(A54="","",IF(D54&lt;&gt;"",MAX(1,ROUNDUP(D54,0)),IF(AND(E54&lt;&gt;"",Inputs!$B$7&gt;0),MAX(1,ROUNDUP(E54/Inputs!$B$7,0)),"")))</f>
        <v/>
      </c>
      <c r="J54" s="58" t="str">
        <f>IF(A54="","",IF(F54&lt;&gt;"",MAX(1,ROUNDUP(F54,0)),IF(AND(G54&lt;&gt;"",Inputs!$B$7&gt;0),MAX(1,ROUNDUP(G54/Inputs!$B$7,0)),"")))</f>
        <v/>
      </c>
    </row>
    <row r="55" spans="1:10" ht="19.05" customHeight="1">
      <c r="A55" s="59"/>
      <c r="B55" s="60"/>
      <c r="C55" s="61"/>
      <c r="D55" s="62"/>
      <c r="E55" s="62"/>
      <c r="F55" s="62"/>
      <c r="G55" s="62"/>
      <c r="H55" s="63"/>
      <c r="I55" s="64" t="str">
        <f>IF(A55="","",IF(D55&lt;&gt;"",MAX(1,ROUNDUP(D55,0)),IF(AND(E55&lt;&gt;"",Inputs!$B$7&gt;0),MAX(1,ROUNDUP(E55/Inputs!$B$7,0)),"")))</f>
        <v/>
      </c>
      <c r="J55" s="65" t="str">
        <f>IF(A55="","",IF(F55&lt;&gt;"",MAX(1,ROUNDUP(F55,0)),IF(AND(G55&lt;&gt;"",Inputs!$B$7&gt;0),MAX(1,ROUNDUP(G55/Inputs!$B$7,0)),"")))</f>
        <v/>
      </c>
    </row>
  </sheetData>
  <mergeCells count="3">
    <mergeCell ref="A1:J1"/>
    <mergeCell ref="B2:J2"/>
    <mergeCell ref="B3:J3"/>
  </mergeCells>
  <conditionalFormatting sqref="I6:I55">
    <cfRule type="cellIs" dxfId="0" priority="1" operator="lessThanOrEqual">
      <formula>12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26"/>
  <sheetViews>
    <sheetView topLeftCell="A4" workbookViewId="0">
      <selection activeCell="I6" sqref="A1:XFD1048576"/>
    </sheetView>
  </sheetViews>
  <sheetFormatPr defaultRowHeight="14.3"/>
  <cols>
    <col min="1" max="1" width="14" style="1" customWidth="1"/>
    <col min="2" max="2" width="12" style="1" customWidth="1"/>
    <col min="3" max="9" width="14" style="1" customWidth="1"/>
    <col min="10" max="10" width="12" style="1" customWidth="1"/>
    <col min="11" max="13" width="17" style="1" customWidth="1"/>
    <col min="14" max="16384" width="8.88671875" style="1"/>
  </cols>
  <sheetData>
    <row r="1" spans="1:13" ht="19.05">
      <c r="A1" s="99" t="s">
        <v>136</v>
      </c>
      <c r="B1" s="100"/>
      <c r="C1" s="100"/>
      <c r="D1" s="100"/>
      <c r="E1" s="100"/>
      <c r="F1" s="100"/>
      <c r="G1" s="100"/>
      <c r="H1" s="100"/>
      <c r="I1" s="100"/>
      <c r="J1" s="100"/>
      <c r="K1" s="100"/>
      <c r="L1" s="100"/>
      <c r="M1" s="101"/>
    </row>
    <row r="2" spans="1:13" ht="36.200000000000003" customHeight="1">
      <c r="A2" s="40" t="s">
        <v>137</v>
      </c>
      <c r="B2" s="102" t="s">
        <v>138</v>
      </c>
      <c r="C2" s="103"/>
      <c r="D2" s="103"/>
      <c r="E2" s="103"/>
      <c r="F2" s="103"/>
      <c r="G2" s="103"/>
      <c r="H2" s="103"/>
      <c r="I2" s="103"/>
      <c r="J2" s="103"/>
      <c r="K2" s="103"/>
      <c r="L2" s="103"/>
      <c r="M2" s="104"/>
    </row>
    <row r="3" spans="1:13" ht="36.200000000000003" customHeight="1">
      <c r="A3" s="41" t="s">
        <v>139</v>
      </c>
      <c r="B3" s="105" t="s">
        <v>140</v>
      </c>
      <c r="C3" s="106"/>
      <c r="D3" s="106"/>
      <c r="E3" s="106"/>
      <c r="F3" s="106"/>
      <c r="G3" s="106"/>
      <c r="H3" s="106"/>
      <c r="I3" s="106"/>
      <c r="J3" s="106"/>
      <c r="K3" s="106"/>
      <c r="L3" s="106"/>
      <c r="M3" s="107"/>
    </row>
    <row r="5" spans="1:13" ht="28.55">
      <c r="A5" s="42" t="s">
        <v>2</v>
      </c>
      <c r="B5" s="43" t="s">
        <v>141</v>
      </c>
      <c r="C5" s="43" t="s">
        <v>142</v>
      </c>
      <c r="D5" s="43" t="s">
        <v>8</v>
      </c>
      <c r="E5" s="43" t="s">
        <v>143</v>
      </c>
      <c r="F5" s="43" t="s">
        <v>144</v>
      </c>
      <c r="G5" s="43" t="s">
        <v>145</v>
      </c>
      <c r="H5" s="43" t="s">
        <v>146</v>
      </c>
      <c r="I5" s="43" t="s">
        <v>147</v>
      </c>
      <c r="J5" s="43" t="s">
        <v>148</v>
      </c>
      <c r="K5" s="43" t="s">
        <v>149</v>
      </c>
      <c r="L5" s="43" t="s">
        <v>4</v>
      </c>
      <c r="M5" s="44" t="s">
        <v>7</v>
      </c>
    </row>
    <row r="6" spans="1:13" ht="18.2" customHeight="1">
      <c r="A6" s="1">
        <v>0</v>
      </c>
      <c r="B6" s="5">
        <f ca="1">EDATE(Inputs!$B$5,$A6)</f>
        <v>46113</v>
      </c>
      <c r="C6" s="66">
        <f>IF($A6=0,0,Inputs!$B$7)</f>
        <v>0</v>
      </c>
      <c r="D6" s="6">
        <f>IF($A6=0,-Inputs!$B$4,0)</f>
        <v>-66000</v>
      </c>
      <c r="E6" s="6">
        <f>IF($A6=0,0,-$C6*Inputs!$B$12/100*Inputs!$B$13*(1+Inputs!$B$19)^$A6)</f>
        <v>0</v>
      </c>
      <c r="F6" s="6">
        <f>IF($A6=0,0,-Inputs!$B$10*(1+Inputs!$B$19)^$A6)</f>
        <v>0</v>
      </c>
      <c r="G6" s="6">
        <f>IF(AND($A6&gt;0,MOD($A6,12)=0),-Inputs!$B$9*(1+Inputs!$B$19)^$A6,0)</f>
        <v>0</v>
      </c>
      <c r="H6" s="6">
        <f>IF($A6=0,0,-SUMPRODUCT((Maintenance!$A$6:$A$55&lt;&gt;"")*(Maintenance!$I$6:$I$55&lt;&gt;"")*($A6=Maintenance!$I$6:$I$55)*Maintenance!$C$6:$C$55*(1+Inputs!$B$19)^$A6)-SUMPRODUCT((Maintenance!$A$6:$A$55&lt;&gt;"")*(Maintenance!$J$6:$J$55&gt;0)*($A6&gt;Maintenance!$I$6:$I$55)*(IFERROR(MOD($A6-Maintenance!$I$6:$I$55,Maintenance!$J$6:$J$55),1)=0)*Maintenance!$C$6:$C$55*(1+Inputs!$B$19)^$A6))</f>
        <v>0</v>
      </c>
      <c r="I6" s="67">
        <f t="shared" ref="I6:I37" si="0">SUM(D6:H6)</f>
        <v>-66000</v>
      </c>
      <c r="J6" s="68">
        <f>1/(1+Inputs!$B$20)^$A6</f>
        <v>1</v>
      </c>
      <c r="K6" s="6">
        <f t="shared" ref="K6:K37" si="1">I6*J6</f>
        <v>-66000</v>
      </c>
      <c r="L6" s="6">
        <f>-SUM($I$6:I6)</f>
        <v>66000</v>
      </c>
      <c r="M6" s="6">
        <f>-SUM($K$6:K6)</f>
        <v>66000</v>
      </c>
    </row>
    <row r="7" spans="1:13" ht="18.2" customHeight="1">
      <c r="A7" s="1">
        <v>1</v>
      </c>
      <c r="B7" s="5">
        <f ca="1">EDATE(Inputs!$B$5,$A7)</f>
        <v>46143</v>
      </c>
      <c r="C7" s="66">
        <f>IF($A7=0,0,Inputs!$B$7)</f>
        <v>1200</v>
      </c>
      <c r="D7" s="6">
        <f>IF($A7=0,-Inputs!$B$4,0)</f>
        <v>0</v>
      </c>
      <c r="E7" s="6">
        <f>IF($A7=0,0,-$C7*Inputs!$B$12/100*Inputs!$B$13*(1+Inputs!$B$19)^$A7)</f>
        <v>-1172.410008435716</v>
      </c>
      <c r="F7" s="6">
        <f>IF($A7=0,0,-Inputs!$B$10*(1+Inputs!$B$19)^$A7)</f>
        <v>-905.86209198793779</v>
      </c>
      <c r="G7" s="6">
        <f>IF(AND($A7&gt;0,MOD($A7,12)=0),-Inputs!$B$9*(1+Inputs!$B$19)^$A7,0)</f>
        <v>0</v>
      </c>
      <c r="H7" s="6">
        <f>IF($A7=0,0,-SUMPRODUCT((Maintenance!$A$6:$A$55&lt;&gt;"")*(Maintenance!$I$6:$I$55&lt;&gt;"")*($A7=Maintenance!$I$6:$I$55)*Maintenance!$C$6:$C$55*(1+Inputs!$B$19)^$A7)-SUMPRODUCT((Maintenance!$A$6:$A$55&lt;&gt;"")*(Maintenance!$J$6:$J$55&gt;0)*($A7&gt;Maintenance!$I$6:$I$55)*(IFERROR(MOD($A7-Maintenance!$I$6:$I$55,Maintenance!$J$6:$J$55),1)=0)*Maintenance!$C$6:$C$55*(1+Inputs!$B$19)^$A7))</f>
        <v>-501.02991813492139</v>
      </c>
      <c r="I7" s="69">
        <f t="shared" si="0"/>
        <v>-2579.3020185585751</v>
      </c>
      <c r="J7" s="68">
        <f>1/(1+Inputs!$B$20)^$A7</f>
        <v>0.99594240735106698</v>
      </c>
      <c r="K7" s="6">
        <f t="shared" si="1"/>
        <v>-2568.8362616486938</v>
      </c>
      <c r="L7" s="6">
        <f>-SUM($I$6:I7)</f>
        <v>68579.302018558577</v>
      </c>
      <c r="M7" s="6">
        <f>-SUM($K$6:K7)</f>
        <v>68568.836261648699</v>
      </c>
    </row>
    <row r="8" spans="1:13" ht="18.2" customHeight="1">
      <c r="A8" s="1">
        <v>2</v>
      </c>
      <c r="B8" s="5">
        <f ca="1">EDATE(Inputs!$B$5,$A8)</f>
        <v>46174</v>
      </c>
      <c r="C8" s="66">
        <f>IF($A8=0,0,Inputs!$B$7)</f>
        <v>1200</v>
      </c>
      <c r="D8" s="6">
        <f>IF($A8=0,-Inputs!$B$4,0)</f>
        <v>0</v>
      </c>
      <c r="E8" s="6">
        <f>IF($A8=0,0,-$C8*Inputs!$B$12/100*Inputs!$B$13*(1+Inputs!$B$19)^$A8)</f>
        <v>-1174.8249810942184</v>
      </c>
      <c r="F8" s="6">
        <f>IF($A8=0,0,-Inputs!$B$10*(1+Inputs!$B$19)^$A8)</f>
        <v>-907.72801958049024</v>
      </c>
      <c r="G8" s="6">
        <f>IF(AND($A8&gt;0,MOD($A8,12)=0),-Inputs!$B$9*(1+Inputs!$B$19)^$A8,0)</f>
        <v>0</v>
      </c>
      <c r="H8" s="6">
        <f>IF($A8=0,0,-SUMPRODUCT((Maintenance!$A$6:$A$55&lt;&gt;"")*(Maintenance!$I$6:$I$55&lt;&gt;"")*($A8=Maintenance!$I$6:$I$55)*Maintenance!$C$6:$C$55*(1+Inputs!$B$19)^$A8)-SUMPRODUCT((Maintenance!$A$6:$A$55&lt;&gt;"")*(Maintenance!$J$6:$J$55&gt;0)*($A8&gt;Maintenance!$I$6:$I$55)*(IFERROR(MOD($A8-Maintenance!$I$6:$I$55,Maintenance!$J$6:$J$55),1)=0)*Maintenance!$C$6:$C$55*(1+Inputs!$B$19)^$A8))</f>
        <v>0</v>
      </c>
      <c r="I8" s="69">
        <f t="shared" si="0"/>
        <v>-2082.5530006747085</v>
      </c>
      <c r="J8" s="68">
        <f>1/(1+Inputs!$B$20)^$A8</f>
        <v>0.9919012787602387</v>
      </c>
      <c r="K8" s="6">
        <f t="shared" si="1"/>
        <v>-2065.6869844552157</v>
      </c>
      <c r="L8" s="6">
        <f>-SUM($I$6:I8)</f>
        <v>70661.855019233291</v>
      </c>
      <c r="M8" s="6">
        <f>-SUM($K$6:K8)</f>
        <v>70634.523246103912</v>
      </c>
    </row>
    <row r="9" spans="1:13" ht="18.2" customHeight="1">
      <c r="A9" s="1">
        <v>3</v>
      </c>
      <c r="B9" s="5">
        <f ca="1">EDATE(Inputs!$B$5,$A9)</f>
        <v>46204</v>
      </c>
      <c r="C9" s="66">
        <f>IF($A9=0,0,Inputs!$B$7)</f>
        <v>1200</v>
      </c>
      <c r="D9" s="6">
        <f>IF($A9=0,-Inputs!$B$4,0)</f>
        <v>0</v>
      </c>
      <c r="E9" s="6">
        <f>IF($A9=0,0,-$C9*Inputs!$B$12/100*Inputs!$B$13*(1+Inputs!$B$19)^$A9)</f>
        <v>-1177.2449282009936</v>
      </c>
      <c r="F9" s="6">
        <f>IF($A9=0,0,-Inputs!$B$10*(1+Inputs!$B$19)^$A9)</f>
        <v>-909.59779067837462</v>
      </c>
      <c r="G9" s="6">
        <f>IF(AND($A9&gt;0,MOD($A9,12)=0),-Inputs!$B$9*(1+Inputs!$B$19)^$A9,0)</f>
        <v>0</v>
      </c>
      <c r="H9" s="6">
        <f>IF($A9=0,0,-SUMPRODUCT((Maintenance!$A$6:$A$55&lt;&gt;"")*(Maintenance!$I$6:$I$55&lt;&gt;"")*($A9=Maintenance!$I$6:$I$55)*Maintenance!$C$6:$C$55*(1+Inputs!$B$19)^$A9)-SUMPRODUCT((Maintenance!$A$6:$A$55&lt;&gt;"")*(Maintenance!$J$6:$J$55&gt;0)*($A9&gt;Maintenance!$I$6:$I$55)*(IFERROR(MOD($A9-Maintenance!$I$6:$I$55,Maintenance!$J$6:$J$55),1)=0)*Maintenance!$C$6:$C$55*(1+Inputs!$B$19)^$A9))</f>
        <v>0</v>
      </c>
      <c r="I9" s="69">
        <f t="shared" si="0"/>
        <v>-2086.8427188793685</v>
      </c>
      <c r="J9" s="68">
        <f>1/(1+Inputs!$B$20)^$A9</f>
        <v>0.98787654742307385</v>
      </c>
      <c r="K9" s="6">
        <f t="shared" si="1"/>
        <v>-2061.5429801415307</v>
      </c>
      <c r="L9" s="6">
        <f>-SUM($I$6:I9)</f>
        <v>72748.697738112664</v>
      </c>
      <c r="M9" s="6">
        <f>-SUM($K$6:K9)</f>
        <v>72696.066226245443</v>
      </c>
    </row>
    <row r="10" spans="1:13" ht="18.2" customHeight="1">
      <c r="A10" s="1">
        <v>4</v>
      </c>
      <c r="B10" s="5">
        <f ca="1">EDATE(Inputs!$B$5,$A10)</f>
        <v>46235</v>
      </c>
      <c r="C10" s="66">
        <f>IF($A10=0,0,Inputs!$B$7)</f>
        <v>1200</v>
      </c>
      <c r="D10" s="6">
        <f>IF($A10=0,-Inputs!$B$4,0)</f>
        <v>0</v>
      </c>
      <c r="E10" s="6">
        <f>IF($A10=0,0,-$C10*Inputs!$B$12/100*Inputs!$B$13*(1+Inputs!$B$19)^$A10)</f>
        <v>-1179.6698600025904</v>
      </c>
      <c r="F10" s="6">
        <f>IF($A10=0,0,-Inputs!$B$10*(1+Inputs!$B$19)^$A10)</f>
        <v>-911.47141319858281</v>
      </c>
      <c r="G10" s="6">
        <f>IF(AND($A10&gt;0,MOD($A10,12)=0),-Inputs!$B$9*(1+Inputs!$B$19)^$A10,0)</f>
        <v>0</v>
      </c>
      <c r="H10" s="6">
        <f>IF($A10=0,0,-SUMPRODUCT((Maintenance!$A$6:$A$55&lt;&gt;"")*(Maintenance!$I$6:$I$55&lt;&gt;"")*($A10=Maintenance!$I$6:$I$55)*Maintenance!$C$6:$C$55*(1+Inputs!$B$19)^$A10)-SUMPRODUCT((Maintenance!$A$6:$A$55&lt;&gt;"")*(Maintenance!$J$6:$J$55&gt;0)*($A10&gt;Maintenance!$I$6:$I$55)*(IFERROR(MOD($A10-Maintenance!$I$6:$I$55,Maintenance!$J$6:$J$55),1)=0)*Maintenance!$C$6:$C$55*(1+Inputs!$B$19)^$A10))</f>
        <v>-1814.8767076962931</v>
      </c>
      <c r="I10" s="69">
        <f t="shared" si="0"/>
        <v>-3906.0179808974663</v>
      </c>
      <c r="J10" s="68">
        <f>1/(1+Inputs!$B$20)^$A10</f>
        <v>0.98386814680619672</v>
      </c>
      <c r="K10" s="6">
        <f t="shared" si="1"/>
        <v>-3843.0066722572724</v>
      </c>
      <c r="L10" s="6">
        <f>-SUM($I$6:I10)</f>
        <v>76654.715719010128</v>
      </c>
      <c r="M10" s="6">
        <f>-SUM($K$6:K10)</f>
        <v>76539.072898502709</v>
      </c>
    </row>
    <row r="11" spans="1:13" ht="18.2" customHeight="1">
      <c r="A11" s="1">
        <v>5</v>
      </c>
      <c r="B11" s="5">
        <f ca="1">EDATE(Inputs!$B$5,$A11)</f>
        <v>46266</v>
      </c>
      <c r="C11" s="66">
        <f>IF($A11=0,0,Inputs!$B$7)</f>
        <v>1200</v>
      </c>
      <c r="D11" s="6">
        <f>IF($A11=0,-Inputs!$B$4,0)</f>
        <v>0</v>
      </c>
      <c r="E11" s="6">
        <f>IF($A11=0,0,-$C11*Inputs!$B$12/100*Inputs!$B$13*(1+Inputs!$B$19)^$A11)</f>
        <v>-1182.0997867666642</v>
      </c>
      <c r="F11" s="6">
        <f>IF($A11=0,0,-Inputs!$B$10*(1+Inputs!$B$19)^$A11)</f>
        <v>-913.34889507441403</v>
      </c>
      <c r="G11" s="6">
        <f>IF(AND($A11&gt;0,MOD($A11,12)=0),-Inputs!$B$9*(1+Inputs!$B$19)^$A11,0)</f>
        <v>0</v>
      </c>
      <c r="H11" s="6">
        <f>IF($A11=0,0,-SUMPRODUCT((Maintenance!$A$6:$A$55&lt;&gt;"")*(Maintenance!$I$6:$I$55&lt;&gt;"")*($A11=Maintenance!$I$6:$I$55)*Maintenance!$C$6:$C$55*(1+Inputs!$B$19)^$A11)-SUMPRODUCT((Maintenance!$A$6:$A$55&lt;&gt;"")*(Maintenance!$J$6:$J$55&gt;0)*($A11&gt;Maintenance!$I$6:$I$55)*(IFERROR(MOD($A11-Maintenance!$I$6:$I$55,Maintenance!$J$6:$J$55),1)=0)*Maintenance!$C$6:$C$55*(1+Inputs!$B$19)^$A11))</f>
        <v>-2323.7859056096818</v>
      </c>
      <c r="I11" s="69">
        <f t="shared" si="0"/>
        <v>-4419.23458745076</v>
      </c>
      <c r="J11" s="68">
        <f>1/(1+Inputs!$B$20)^$A11</f>
        <v>0.97987601064619656</v>
      </c>
      <c r="K11" s="6">
        <f t="shared" si="1"/>
        <v>-4330.3019576609413</v>
      </c>
      <c r="L11" s="6">
        <f>-SUM($I$6:I11)</f>
        <v>81073.950306460887</v>
      </c>
      <c r="M11" s="6">
        <f>-SUM($K$6:K11)</f>
        <v>80869.374856163646</v>
      </c>
    </row>
    <row r="12" spans="1:13" ht="18.2" customHeight="1">
      <c r="A12" s="1">
        <v>6</v>
      </c>
      <c r="B12" s="5">
        <f ca="1">EDATE(Inputs!$B$5,$A12)</f>
        <v>46296</v>
      </c>
      <c r="C12" s="66">
        <f>IF($A12=0,0,Inputs!$B$7)</f>
        <v>1200</v>
      </c>
      <c r="D12" s="6">
        <f>IF($A12=0,-Inputs!$B$4,0)</f>
        <v>0</v>
      </c>
      <c r="E12" s="6">
        <f>IF($A12=0,0,-$C12*Inputs!$B$12/100*Inputs!$B$13*(1+Inputs!$B$19)^$A12)</f>
        <v>-1184.5347187820194</v>
      </c>
      <c r="F12" s="6">
        <f>IF($A12=0,0,-Inputs!$B$10*(1+Inputs!$B$19)^$A12)</f>
        <v>-915.23024425550898</v>
      </c>
      <c r="G12" s="6">
        <f>IF(AND($A12&gt;0,MOD($A12,12)=0),-Inputs!$B$9*(1+Inputs!$B$19)^$A12,0)</f>
        <v>0</v>
      </c>
      <c r="H12" s="6">
        <f>IF($A12=0,0,-SUMPRODUCT((Maintenance!$A$6:$A$55&lt;&gt;"")*(Maintenance!$I$6:$I$55&lt;&gt;"")*($A12=Maintenance!$I$6:$I$55)*Maintenance!$C$6:$C$55*(1+Inputs!$B$19)^$A12)-SUMPRODUCT((Maintenance!$A$6:$A$55&lt;&gt;"")*(Maintenance!$J$6:$J$55&gt;0)*($A12&gt;Maintenance!$I$6:$I$55)*(IFERROR(MOD($A12-Maintenance!$I$6:$I$55,Maintenance!$J$6:$J$55),1)=0)*Maintenance!$C$6:$C$55*(1+Inputs!$B$19)^$A12))</f>
        <v>0</v>
      </c>
      <c r="I12" s="69">
        <f t="shared" si="0"/>
        <v>-2099.7649630375281</v>
      </c>
      <c r="J12" s="68">
        <f>1/(1+Inputs!$B$20)^$A12</f>
        <v>0.97590007294853265</v>
      </c>
      <c r="K12" s="6">
        <f t="shared" si="1"/>
        <v>-2049.1607806030966</v>
      </c>
      <c r="L12" s="6">
        <f>-SUM($I$6:I12)</f>
        <v>83173.715269498411</v>
      </c>
      <c r="M12" s="6">
        <f>-SUM($K$6:K12)</f>
        <v>82918.535636766741</v>
      </c>
    </row>
    <row r="13" spans="1:13" ht="18.2" customHeight="1">
      <c r="A13" s="1">
        <v>7</v>
      </c>
      <c r="B13" s="5">
        <f ca="1">EDATE(Inputs!$B$5,$A13)</f>
        <v>46327</v>
      </c>
      <c r="C13" s="66">
        <f>IF($A13=0,0,Inputs!$B$7)</f>
        <v>1200</v>
      </c>
      <c r="D13" s="6">
        <f>IF($A13=0,-Inputs!$B$4,0)</f>
        <v>0</v>
      </c>
      <c r="E13" s="6">
        <f>IF($A13=0,0,-$C13*Inputs!$B$12/100*Inputs!$B$13*(1+Inputs!$B$19)^$A13)</f>
        <v>-1186.9746663586548</v>
      </c>
      <c r="F13" s="6">
        <f>IF($A13=0,0,-Inputs!$B$10*(1+Inputs!$B$19)^$A13)</f>
        <v>-917.11546870788368</v>
      </c>
      <c r="G13" s="6">
        <f>IF(AND($A13&gt;0,MOD($A13,12)=0),-Inputs!$B$9*(1+Inputs!$B$19)^$A13,0)</f>
        <v>0</v>
      </c>
      <c r="H13" s="6">
        <f>IF($A13=0,0,-SUMPRODUCT((Maintenance!$A$6:$A$55&lt;&gt;"")*(Maintenance!$I$6:$I$55&lt;&gt;"")*($A13=Maintenance!$I$6:$I$55)*Maintenance!$C$6:$C$55*(1+Inputs!$B$19)^$A13)-SUMPRODUCT((Maintenance!$A$6:$A$55&lt;&gt;"")*(Maintenance!$J$6:$J$55&gt;0)*($A13&gt;Maintenance!$I$6:$I$55)*(IFERROR(MOD($A13-Maintenance!$I$6:$I$55,Maintenance!$J$6:$J$55),1)=0)*Maintenance!$C$6:$C$55*(1+Inputs!$B$19)^$A13))</f>
        <v>0</v>
      </c>
      <c r="I13" s="69">
        <f t="shared" si="0"/>
        <v>-2104.0901350665386</v>
      </c>
      <c r="J13" s="68">
        <f>1/(1+Inputs!$B$20)^$A13</f>
        <v>0.97194026798644362</v>
      </c>
      <c r="K13" s="6">
        <f t="shared" si="1"/>
        <v>-2045.0499297442038</v>
      </c>
      <c r="L13" s="6">
        <f>-SUM($I$6:I13)</f>
        <v>85277.805404564948</v>
      </c>
      <c r="M13" s="6">
        <f>-SUM($K$6:K13)</f>
        <v>84963.585566510941</v>
      </c>
    </row>
    <row r="14" spans="1:13" ht="18.2" customHeight="1">
      <c r="A14" s="1">
        <v>8</v>
      </c>
      <c r="B14" s="5">
        <f ca="1">EDATE(Inputs!$B$5,$A14)</f>
        <v>46357</v>
      </c>
      <c r="C14" s="66">
        <f>IF($A14=0,0,Inputs!$B$7)</f>
        <v>1200</v>
      </c>
      <c r="D14" s="6">
        <f>IF($A14=0,-Inputs!$B$4,0)</f>
        <v>0</v>
      </c>
      <c r="E14" s="6">
        <f>IF($A14=0,0,-$C14*Inputs!$B$12/100*Inputs!$B$13*(1+Inputs!$B$19)^$A14)</f>
        <v>-1189.4196398278048</v>
      </c>
      <c r="F14" s="6">
        <f>IF($A14=0,0,-Inputs!$B$10*(1+Inputs!$B$19)^$A14)</f>
        <v>-919.0045764139619</v>
      </c>
      <c r="G14" s="6">
        <f>IF(AND($A14&gt;0,MOD($A14,12)=0),-Inputs!$B$9*(1+Inputs!$B$19)^$A14,0)</f>
        <v>0</v>
      </c>
      <c r="H14" s="6">
        <f>IF($A14=0,0,-SUMPRODUCT((Maintenance!$A$6:$A$55&lt;&gt;"")*(Maintenance!$I$6:$I$55&lt;&gt;"")*($A14=Maintenance!$I$6:$I$55)*Maintenance!$C$6:$C$55*(1+Inputs!$B$19)^$A14)-SUMPRODUCT((Maintenance!$A$6:$A$55&lt;&gt;"")*(Maintenance!$J$6:$J$55&gt;0)*($A14&gt;Maintenance!$I$6:$I$55)*(IFERROR(MOD($A14-Maintenance!$I$6:$I$55,Maintenance!$J$6:$J$55),1)=0)*Maintenance!$C$6:$C$55*(1+Inputs!$B$19)^$A14))</f>
        <v>0</v>
      </c>
      <c r="I14" s="69">
        <f t="shared" si="0"/>
        <v>-2108.4242162417668</v>
      </c>
      <c r="J14" s="68">
        <f>1/(1+Inputs!$B$20)^$A14</f>
        <v>0.96799653029985977</v>
      </c>
      <c r="K14" s="6">
        <f t="shared" si="1"/>
        <v>-2040.9473257222314</v>
      </c>
      <c r="L14" s="6">
        <f>-SUM($I$6:I14)</f>
        <v>87386.229620806713</v>
      </c>
      <c r="M14" s="6">
        <f>-SUM($K$6:K14)</f>
        <v>87004.532892233168</v>
      </c>
    </row>
    <row r="15" spans="1:13" ht="18.2" customHeight="1">
      <c r="A15" s="1">
        <v>9</v>
      </c>
      <c r="B15" s="5">
        <f ca="1">EDATE(Inputs!$B$5,$A15)</f>
        <v>46388</v>
      </c>
      <c r="C15" s="66">
        <f>IF($A15=0,0,Inputs!$B$7)</f>
        <v>1200</v>
      </c>
      <c r="D15" s="6">
        <f>IF($A15=0,-Inputs!$B$4,0)</f>
        <v>0</v>
      </c>
      <c r="E15" s="6">
        <f>IF($A15=0,0,-$C15*Inputs!$B$12/100*Inputs!$B$13*(1+Inputs!$B$19)^$A15)</f>
        <v>-1191.8696495419854</v>
      </c>
      <c r="F15" s="6">
        <f>IF($A15=0,0,-Inputs!$B$10*(1+Inputs!$B$19)^$A15)</f>
        <v>-920.89757537261096</v>
      </c>
      <c r="G15" s="6">
        <f>IF(AND($A15&gt;0,MOD($A15,12)=0),-Inputs!$B$9*(1+Inputs!$B$19)^$A15,0)</f>
        <v>0</v>
      </c>
      <c r="H15" s="6">
        <f>IF($A15=0,0,-SUMPRODUCT((Maintenance!$A$6:$A$55&lt;&gt;"")*(Maintenance!$I$6:$I$55&lt;&gt;"")*($A15=Maintenance!$I$6:$I$55)*Maintenance!$C$6:$C$55*(1+Inputs!$B$19)^$A15)-SUMPRODUCT((Maintenance!$A$6:$A$55&lt;&gt;"")*(Maintenance!$J$6:$J$55&gt;0)*($A15&gt;Maintenance!$I$6:$I$55)*(IFERROR(MOD($A15-Maintenance!$I$6:$I$55,Maintenance!$J$6:$J$55),1)=0)*Maintenance!$C$6:$C$55*(1+Inputs!$B$19)^$A15))</f>
        <v>0</v>
      </c>
      <c r="I15" s="69">
        <f t="shared" si="0"/>
        <v>-2112.7672249145962</v>
      </c>
      <c r="J15" s="68">
        <f>1/(1+Inputs!$B$20)^$A15</f>
        <v>0.96406879469432227</v>
      </c>
      <c r="K15" s="6">
        <f t="shared" si="1"/>
        <v>-2036.8529519930828</v>
      </c>
      <c r="L15" s="6">
        <f>-SUM($I$6:I15)</f>
        <v>89498.996845721311</v>
      </c>
      <c r="M15" s="6">
        <f>-SUM($K$6:K15)</f>
        <v>89041.385844226257</v>
      </c>
    </row>
    <row r="16" spans="1:13" ht="18.2" customHeight="1">
      <c r="A16" s="1">
        <v>10</v>
      </c>
      <c r="B16" s="5">
        <f ca="1">EDATE(Inputs!$B$5,$A16)</f>
        <v>46419</v>
      </c>
      <c r="C16" s="66">
        <f>IF($A16=0,0,Inputs!$B$7)</f>
        <v>1200</v>
      </c>
      <c r="D16" s="6">
        <f>IF($A16=0,-Inputs!$B$4,0)</f>
        <v>0</v>
      </c>
      <c r="E16" s="6">
        <f>IF($A16=0,0,-$C16*Inputs!$B$12/100*Inputs!$B$13*(1+Inputs!$B$19)^$A16)</f>
        <v>-1194.3247058750367</v>
      </c>
      <c r="F16" s="6">
        <f>IF($A16=0,0,-Inputs!$B$10*(1+Inputs!$B$19)^$A16)</f>
        <v>-922.79447359917367</v>
      </c>
      <c r="G16" s="6">
        <f>IF(AND($A16&gt;0,MOD($A16,12)=0),-Inputs!$B$9*(1+Inputs!$B$19)^$A16,0)</f>
        <v>0</v>
      </c>
      <c r="H16" s="6">
        <f>IF($A16=0,0,-SUMPRODUCT((Maintenance!$A$6:$A$55&lt;&gt;"")*(Maintenance!$I$6:$I$55&lt;&gt;"")*($A16=Maintenance!$I$6:$I$55)*Maintenance!$C$6:$C$55*(1+Inputs!$B$19)^$A16)-SUMPRODUCT((Maintenance!$A$6:$A$55&lt;&gt;"")*(Maintenance!$J$6:$J$55&gt;0)*($A16&gt;Maintenance!$I$6:$I$55)*(IFERROR(MOD($A16-Maintenance!$I$6:$I$55,Maintenance!$J$6:$J$55),1)=0)*Maintenance!$C$6:$C$55*(1+Inputs!$B$19)^$A16))</f>
        <v>0</v>
      </c>
      <c r="I16" s="69">
        <f t="shared" si="0"/>
        <v>-2117.1191794742103</v>
      </c>
      <c r="J16" s="68">
        <f>1/(1+Inputs!$B$20)^$A16</f>
        <v>0.96015699623990491</v>
      </c>
      <c r="K16" s="6">
        <f t="shared" si="1"/>
        <v>-2032.76679204585</v>
      </c>
      <c r="L16" s="6">
        <f>-SUM($I$6:I16)</f>
        <v>91616.116025195515</v>
      </c>
      <c r="M16" s="6">
        <f>-SUM($K$6:K16)</f>
        <v>91074.152636272105</v>
      </c>
    </row>
    <row r="17" spans="1:13" ht="18.2" customHeight="1">
      <c r="A17" s="1">
        <v>11</v>
      </c>
      <c r="B17" s="5">
        <f ca="1">EDATE(Inputs!$B$5,$A17)</f>
        <v>46447</v>
      </c>
      <c r="C17" s="66">
        <f>IF($A17=0,0,Inputs!$B$7)</f>
        <v>1200</v>
      </c>
      <c r="D17" s="6">
        <f>IF($A17=0,-Inputs!$B$4,0)</f>
        <v>0</v>
      </c>
      <c r="E17" s="6">
        <f>IF($A17=0,0,-$C17*Inputs!$B$12/100*Inputs!$B$13*(1+Inputs!$B$19)^$A17)</f>
        <v>-1196.7848192221672</v>
      </c>
      <c r="F17" s="6">
        <f>IF($A17=0,0,-Inputs!$B$10*(1+Inputs!$B$19)^$A17)</f>
        <v>-924.69527912550359</v>
      </c>
      <c r="G17" s="6">
        <f>IF(AND($A17&gt;0,MOD($A17,12)=0),-Inputs!$B$9*(1+Inputs!$B$19)^$A17,0)</f>
        <v>0</v>
      </c>
      <c r="H17" s="6">
        <f>IF($A17=0,0,-SUMPRODUCT((Maintenance!$A$6:$A$55&lt;&gt;"")*(Maintenance!$I$6:$I$55&lt;&gt;"")*($A17=Maintenance!$I$6:$I$55)*Maintenance!$C$6:$C$55*(1+Inputs!$B$19)^$A17)-SUMPRODUCT((Maintenance!$A$6:$A$55&lt;&gt;"")*(Maintenance!$J$6:$J$55&gt;0)*($A17&gt;Maintenance!$I$6:$I$55)*(IFERROR(MOD($A17-Maintenance!$I$6:$I$55,Maintenance!$J$6:$J$55),1)=0)*Maintenance!$C$6:$C$55*(1+Inputs!$B$19)^$A17))</f>
        <v>0</v>
      </c>
      <c r="I17" s="69">
        <f t="shared" si="0"/>
        <v>-2121.4800983476707</v>
      </c>
      <c r="J17" s="68">
        <f>1/(1+Inputs!$B$20)^$A17</f>
        <v>0.95626107027014029</v>
      </c>
      <c r="K17" s="6">
        <f t="shared" si="1"/>
        <v>-2028.688829402746</v>
      </c>
      <c r="L17" s="6">
        <f>-SUM($I$6:I17)</f>
        <v>93737.59612354319</v>
      </c>
      <c r="M17" s="6">
        <f>-SUM($K$6:K17)</f>
        <v>93102.84146567485</v>
      </c>
    </row>
    <row r="18" spans="1:13" ht="18.2" customHeight="1">
      <c r="A18" s="1">
        <v>12</v>
      </c>
      <c r="B18" s="5">
        <f ca="1">EDATE(Inputs!$B$5,$A18)</f>
        <v>46478</v>
      </c>
      <c r="C18" s="66">
        <f>IF($A18=0,0,Inputs!$B$7)</f>
        <v>1200</v>
      </c>
      <c r="D18" s="6">
        <f>IF($A18=0,-Inputs!$B$4,0)</f>
        <v>0</v>
      </c>
      <c r="E18" s="6">
        <f>IF($A18=0,0,-$C18*Inputs!$B$12/100*Inputs!$B$13*(1+Inputs!$B$19)^$A18)</f>
        <v>-1199.2499999999984</v>
      </c>
      <c r="F18" s="6">
        <f>IF($A18=0,0,-Inputs!$B$10*(1+Inputs!$B$19)^$A18)</f>
        <v>-926.59999999999877</v>
      </c>
      <c r="G18" s="6">
        <f>IF(AND($A18&gt;0,MOD($A18,12)=0),-Inputs!$B$9*(1+Inputs!$B$19)^$A18,0)</f>
        <v>-1281.2499999999982</v>
      </c>
      <c r="H18" s="6">
        <f>IF($A18=0,0,-SUMPRODUCT((Maintenance!$A$6:$A$55&lt;&gt;"")*(Maintenance!$I$6:$I$55&lt;&gt;"")*($A18=Maintenance!$I$6:$I$55)*Maintenance!$C$6:$C$55*(1+Inputs!$B$19)^$A18)-SUMPRODUCT((Maintenance!$A$6:$A$55&lt;&gt;"")*(Maintenance!$J$6:$J$55&gt;0)*($A18&gt;Maintenance!$I$6:$I$55)*(IFERROR(MOD($A18-Maintenance!$I$6:$I$55,Maintenance!$J$6:$J$55),1)=0)*Maintenance!$C$6:$C$55*(1+Inputs!$B$19)^$A18))</f>
        <v>-3638.749999999995</v>
      </c>
      <c r="I18" s="69">
        <f t="shared" si="0"/>
        <v>-7045.8499999999904</v>
      </c>
      <c r="J18" s="68">
        <f>1/(1+Inputs!$B$20)^$A18</f>
        <v>0.95238095238095133</v>
      </c>
      <c r="K18" s="6">
        <f t="shared" si="1"/>
        <v>-6710.3333333333167</v>
      </c>
      <c r="L18" s="6">
        <f>-SUM($I$6:I18)</f>
        <v>100783.44612354318</v>
      </c>
      <c r="M18" s="6">
        <f>-SUM($K$6:K18)</f>
        <v>99813.174799008164</v>
      </c>
    </row>
    <row r="19" spans="1:13" ht="18.2" customHeight="1">
      <c r="A19" s="1">
        <v>13</v>
      </c>
      <c r="B19" s="5">
        <f ca="1">EDATE(Inputs!$B$5,$A19)</f>
        <v>46508</v>
      </c>
      <c r="C19" s="66">
        <f>IF($A19=0,0,Inputs!$B$7)</f>
        <v>1200</v>
      </c>
      <c r="D19" s="6">
        <f>IF($A19=0,-Inputs!$B$4,0)</f>
        <v>0</v>
      </c>
      <c r="E19" s="6">
        <f>IF($A19=0,0,-$C19*Inputs!$B$12/100*Inputs!$B$13*(1+Inputs!$B$19)^$A19)</f>
        <v>-1201.7202586466071</v>
      </c>
      <c r="F19" s="6">
        <f>IF($A19=0,0,-Inputs!$B$10*(1+Inputs!$B$19)^$A19)</f>
        <v>-928.50864428763487</v>
      </c>
      <c r="G19" s="6">
        <f>IF(AND($A19&gt;0,MOD($A19,12)=0),-Inputs!$B$9*(1+Inputs!$B$19)^$A19,0)</f>
        <v>0</v>
      </c>
      <c r="H19" s="6">
        <f>IF($A19=0,0,-SUMPRODUCT((Maintenance!$A$6:$A$55&lt;&gt;"")*(Maintenance!$I$6:$I$55&lt;&gt;"")*($A19=Maintenance!$I$6:$I$55)*Maintenance!$C$6:$C$55*(1+Inputs!$B$19)^$A19)-SUMPRODUCT((Maintenance!$A$6:$A$55&lt;&gt;"")*(Maintenance!$J$6:$J$55&gt;0)*($A19&gt;Maintenance!$I$6:$I$55)*(IFERROR(MOD($A19-Maintenance!$I$6:$I$55,Maintenance!$J$6:$J$55),1)=0)*Maintenance!$C$6:$C$55*(1+Inputs!$B$19)^$A19))</f>
        <v>0</v>
      </c>
      <c r="I19" s="69">
        <f t="shared" si="0"/>
        <v>-2130.2289029342419</v>
      </c>
      <c r="J19" s="68">
        <f>1/(1+Inputs!$B$20)^$A19</f>
        <v>0.94851657842958659</v>
      </c>
      <c r="K19" s="6">
        <f t="shared" si="1"/>
        <v>-2020.5574302829991</v>
      </c>
      <c r="L19" s="6">
        <f>-SUM($I$6:I19)</f>
        <v>102913.67502647742</v>
      </c>
      <c r="M19" s="6">
        <f>-SUM($K$6:K19)</f>
        <v>101833.73222929117</v>
      </c>
    </row>
    <row r="20" spans="1:13" ht="18.2" customHeight="1">
      <c r="A20" s="1">
        <v>14</v>
      </c>
      <c r="B20" s="5">
        <f ca="1">EDATE(Inputs!$B$5,$A20)</f>
        <v>46539</v>
      </c>
      <c r="C20" s="66">
        <f>IF($A20=0,0,Inputs!$B$7)</f>
        <v>1200</v>
      </c>
      <c r="D20" s="6">
        <f>IF($A20=0,-Inputs!$B$4,0)</f>
        <v>0</v>
      </c>
      <c r="E20" s="6">
        <f>IF($A20=0,0,-$C20*Inputs!$B$12/100*Inputs!$B$13*(1+Inputs!$B$19)^$A20)</f>
        <v>-1204.1956056215722</v>
      </c>
      <c r="F20" s="6">
        <f>IF($A20=0,0,-Inputs!$B$10*(1+Inputs!$B$19)^$A20)</f>
        <v>-930.42122007000114</v>
      </c>
      <c r="G20" s="6">
        <f>IF(AND($A20&gt;0,MOD($A20,12)=0),-Inputs!$B$9*(1+Inputs!$B$19)^$A20,0)</f>
        <v>0</v>
      </c>
      <c r="H20" s="6">
        <f>IF($A20=0,0,-SUMPRODUCT((Maintenance!$A$6:$A$55&lt;&gt;"")*(Maintenance!$I$6:$I$55&lt;&gt;"")*($A20=Maintenance!$I$6:$I$55)*Maintenance!$C$6:$C$55*(1+Inputs!$B$19)^$A20)-SUMPRODUCT((Maintenance!$A$6:$A$55&lt;&gt;"")*(Maintenance!$J$6:$J$55&gt;0)*($A20&gt;Maintenance!$I$6:$I$55)*(IFERROR(MOD($A20-Maintenance!$I$6:$I$55,Maintenance!$J$6:$J$55),1)=0)*Maintenance!$C$6:$C$55*(1+Inputs!$B$19)^$A20))</f>
        <v>0</v>
      </c>
      <c r="I20" s="69">
        <f t="shared" si="0"/>
        <v>-2134.6168256915735</v>
      </c>
      <c r="J20" s="68">
        <f>1/(1+Inputs!$B$20)^$A20</f>
        <v>0.94466788453355954</v>
      </c>
      <c r="K20" s="6">
        <f t="shared" si="1"/>
        <v>-2016.5039610158008</v>
      </c>
      <c r="L20" s="6">
        <f>-SUM($I$6:I20)</f>
        <v>105048.29185216899</v>
      </c>
      <c r="M20" s="6">
        <f>-SUM($K$6:K20)</f>
        <v>103850.23619030697</v>
      </c>
    </row>
    <row r="21" spans="1:13" ht="18.2" customHeight="1">
      <c r="A21" s="1">
        <v>15</v>
      </c>
      <c r="B21" s="5">
        <f ca="1">EDATE(Inputs!$B$5,$A21)</f>
        <v>46569</v>
      </c>
      <c r="C21" s="66">
        <f>IF($A21=0,0,Inputs!$B$7)</f>
        <v>1200</v>
      </c>
      <c r="D21" s="6">
        <f>IF($A21=0,-Inputs!$B$4,0)</f>
        <v>0</v>
      </c>
      <c r="E21" s="6">
        <f>IF($A21=0,0,-$C21*Inputs!$B$12/100*Inputs!$B$13*(1+Inputs!$B$19)^$A21)</f>
        <v>-1206.676051406017</v>
      </c>
      <c r="F21" s="6">
        <f>IF($A21=0,0,-Inputs!$B$10*(1+Inputs!$B$19)^$A21)</f>
        <v>-932.33773544533267</v>
      </c>
      <c r="G21" s="6">
        <f>IF(AND($A21&gt;0,MOD($A21,12)=0),-Inputs!$B$9*(1+Inputs!$B$19)^$A21,0)</f>
        <v>0</v>
      </c>
      <c r="H21" s="6">
        <f>IF($A21=0,0,-SUMPRODUCT((Maintenance!$A$6:$A$55&lt;&gt;"")*(Maintenance!$I$6:$I$55&lt;&gt;"")*($A21=Maintenance!$I$6:$I$55)*Maintenance!$C$6:$C$55*(1+Inputs!$B$19)^$A21)-SUMPRODUCT((Maintenance!$A$6:$A$55&lt;&gt;"")*(Maintenance!$J$6:$J$55&gt;0)*($A21&gt;Maintenance!$I$6:$I$55)*(IFERROR(MOD($A21-Maintenance!$I$6:$I$55,Maintenance!$J$6:$J$55),1)=0)*Maintenance!$C$6:$C$55*(1+Inputs!$B$19)^$A21))</f>
        <v>0</v>
      </c>
      <c r="I21" s="69">
        <f t="shared" si="0"/>
        <v>-2139.0137868513498</v>
      </c>
      <c r="J21" s="68">
        <f>1/(1+Inputs!$B$20)^$A21</f>
        <v>0.9408348070695931</v>
      </c>
      <c r="K21" s="6">
        <f t="shared" si="1"/>
        <v>-2012.4586234714893</v>
      </c>
      <c r="L21" s="6">
        <f>-SUM($I$6:I21)</f>
        <v>107187.30563902034</v>
      </c>
      <c r="M21" s="6">
        <f>-SUM($K$6:K21)</f>
        <v>105862.69481377846</v>
      </c>
    </row>
    <row r="22" spans="1:13" ht="18.2" customHeight="1">
      <c r="A22" s="1">
        <v>16</v>
      </c>
      <c r="B22" s="5">
        <f ca="1">EDATE(Inputs!$B$5,$A22)</f>
        <v>46600</v>
      </c>
      <c r="C22" s="66">
        <f>IF($A22=0,0,Inputs!$B$7)</f>
        <v>1200</v>
      </c>
      <c r="D22" s="6">
        <f>IF($A22=0,-Inputs!$B$4,0)</f>
        <v>0</v>
      </c>
      <c r="E22" s="6">
        <f>IF($A22=0,0,-$C22*Inputs!$B$12/100*Inputs!$B$13*(1+Inputs!$B$19)^$A22)</f>
        <v>-1209.1616065026535</v>
      </c>
      <c r="F22" s="6">
        <f>IF($A22=0,0,-Inputs!$B$10*(1+Inputs!$B$19)^$A22)</f>
        <v>-934.25819852854602</v>
      </c>
      <c r="G22" s="6">
        <f>IF(AND($A22&gt;0,MOD($A22,12)=0),-Inputs!$B$9*(1+Inputs!$B$19)^$A22,0)</f>
        <v>0</v>
      </c>
      <c r="H22" s="6">
        <f>IF($A22=0,0,-SUMPRODUCT((Maintenance!$A$6:$A$55&lt;&gt;"")*(Maintenance!$I$6:$I$55&lt;&gt;"")*($A22=Maintenance!$I$6:$I$55)*Maintenance!$C$6:$C$55*(1+Inputs!$B$19)^$A22)-SUMPRODUCT((Maintenance!$A$6:$A$55&lt;&gt;"")*(Maintenance!$J$6:$J$55&gt;0)*($A22&gt;Maintenance!$I$6:$I$55)*(IFERROR(MOD($A22-Maintenance!$I$6:$I$55,Maintenance!$J$6:$J$55),1)=0)*Maintenance!$C$6:$C$55*(1+Inputs!$B$19)^$A22))</f>
        <v>0</v>
      </c>
      <c r="I22" s="69">
        <f t="shared" si="0"/>
        <v>-2143.4198050311998</v>
      </c>
      <c r="J22" s="68">
        <f>1/(1+Inputs!$B$20)^$A22</f>
        <v>0.93701728267256712</v>
      </c>
      <c r="K22" s="6">
        <f t="shared" si="1"/>
        <v>-2008.4214013368985</v>
      </c>
      <c r="L22" s="6">
        <f>-SUM($I$6:I22)</f>
        <v>109330.72544405154</v>
      </c>
      <c r="M22" s="6">
        <f>-SUM($K$6:K22)</f>
        <v>107871.11621511537</v>
      </c>
    </row>
    <row r="23" spans="1:13" ht="18.2" customHeight="1">
      <c r="A23" s="1">
        <v>17</v>
      </c>
      <c r="B23" s="5">
        <f ca="1">EDATE(Inputs!$B$5,$A23)</f>
        <v>46631</v>
      </c>
      <c r="C23" s="66">
        <f>IF($A23=0,0,Inputs!$B$7)</f>
        <v>1200</v>
      </c>
      <c r="D23" s="6">
        <f>IF($A23=0,-Inputs!$B$4,0)</f>
        <v>0</v>
      </c>
      <c r="E23" s="6">
        <f>IF($A23=0,0,-$C23*Inputs!$B$12/100*Inputs!$B$13*(1+Inputs!$B$19)^$A23)</f>
        <v>-1211.6522814358291</v>
      </c>
      <c r="F23" s="6">
        <f>IF($A23=0,0,-Inputs!$B$10*(1+Inputs!$B$19)^$A23)</f>
        <v>-936.18261745127313</v>
      </c>
      <c r="G23" s="6">
        <f>IF(AND($A23&gt;0,MOD($A23,12)=0),-Inputs!$B$9*(1+Inputs!$B$19)^$A23,0)</f>
        <v>0</v>
      </c>
      <c r="H23" s="6">
        <f>IF($A23=0,0,-SUMPRODUCT((Maintenance!$A$6:$A$55&lt;&gt;"")*(Maintenance!$I$6:$I$55&lt;&gt;"")*($A23=Maintenance!$I$6:$I$55)*Maintenance!$C$6:$C$55*(1+Inputs!$B$19)^$A23)-SUMPRODUCT((Maintenance!$A$6:$A$55&lt;&gt;"")*(Maintenance!$J$6:$J$55&gt;0)*($A23&gt;Maintenance!$I$6:$I$55)*(IFERROR(MOD($A23-Maintenance!$I$6:$I$55,Maintenance!$J$6:$J$55),1)=0)*Maintenance!$C$6:$C$55*(1+Inputs!$B$19)^$A23))</f>
        <v>0</v>
      </c>
      <c r="I23" s="69">
        <f t="shared" si="0"/>
        <v>-2147.8348988871021</v>
      </c>
      <c r="J23" s="68">
        <f>1/(1+Inputs!$B$20)^$A23</f>
        <v>0.93321524823447188</v>
      </c>
      <c r="K23" s="6">
        <f t="shared" si="1"/>
        <v>-2004.3922783315888</v>
      </c>
      <c r="L23" s="6">
        <f>-SUM($I$6:I23)</f>
        <v>111478.56034293864</v>
      </c>
      <c r="M23" s="6">
        <f>-SUM($K$6:K23)</f>
        <v>109875.50849344696</v>
      </c>
    </row>
    <row r="24" spans="1:13" ht="18.2" customHeight="1">
      <c r="A24" s="1">
        <v>18</v>
      </c>
      <c r="B24" s="5">
        <f ca="1">EDATE(Inputs!$B$5,$A24)</f>
        <v>46661</v>
      </c>
      <c r="C24" s="66">
        <f>IF($A24=0,0,Inputs!$B$7)</f>
        <v>1200</v>
      </c>
      <c r="D24" s="6">
        <f>IF($A24=0,-Inputs!$B$4,0)</f>
        <v>0</v>
      </c>
      <c r="E24" s="6">
        <f>IF($A24=0,0,-$C24*Inputs!$B$12/100*Inputs!$B$13*(1+Inputs!$B$19)^$A24)</f>
        <v>-1214.1480867515684</v>
      </c>
      <c r="F24" s="6">
        <f>IF($A24=0,0,-Inputs!$B$10*(1+Inputs!$B$19)^$A24)</f>
        <v>-938.11100036189555</v>
      </c>
      <c r="G24" s="6">
        <f>IF(AND($A24&gt;0,MOD($A24,12)=0),-Inputs!$B$9*(1+Inputs!$B$19)^$A24,0)</f>
        <v>0</v>
      </c>
      <c r="H24" s="6">
        <f>IF($A24=0,0,-SUMPRODUCT((Maintenance!$A$6:$A$55&lt;&gt;"")*(Maintenance!$I$6:$I$55&lt;&gt;"")*($A24=Maintenance!$I$6:$I$55)*Maintenance!$C$6:$C$55*(1+Inputs!$B$19)^$A24)-SUMPRODUCT((Maintenance!$A$6:$A$55&lt;&gt;"")*(Maintenance!$J$6:$J$55&gt;0)*($A24&gt;Maintenance!$I$6:$I$55)*(IFERROR(MOD($A24-Maintenance!$I$6:$I$55,Maintenance!$J$6:$J$55),1)=0)*Maintenance!$C$6:$C$55*(1+Inputs!$B$19)^$A24))</f>
        <v>-3113.2002224399189</v>
      </c>
      <c r="I24" s="69">
        <f t="shared" si="0"/>
        <v>-5265.4593095533828</v>
      </c>
      <c r="J24" s="68">
        <f>1/(1+Inputs!$B$20)^$A24</f>
        <v>0.92942864090336341</v>
      </c>
      <c r="K24" s="6">
        <f t="shared" si="1"/>
        <v>-4893.8686898101632</v>
      </c>
      <c r="L24" s="6">
        <f>-SUM($I$6:I24)</f>
        <v>116744.01965249202</v>
      </c>
      <c r="M24" s="6">
        <f>-SUM($K$6:K24)</f>
        <v>114769.37718325712</v>
      </c>
    </row>
    <row r="25" spans="1:13" ht="18.2" customHeight="1">
      <c r="A25" s="1">
        <v>19</v>
      </c>
      <c r="B25" s="5">
        <f ca="1">EDATE(Inputs!$B$5,$A25)</f>
        <v>46692</v>
      </c>
      <c r="C25" s="66">
        <f>IF($A25=0,0,Inputs!$B$7)</f>
        <v>1200</v>
      </c>
      <c r="D25" s="6">
        <f>IF($A25=0,-Inputs!$B$4,0)</f>
        <v>0</v>
      </c>
      <c r="E25" s="6">
        <f>IF($A25=0,0,-$C25*Inputs!$B$12/100*Inputs!$B$13*(1+Inputs!$B$19)^$A25)</f>
        <v>-1216.6490330176193</v>
      </c>
      <c r="F25" s="6">
        <f>IF($A25=0,0,-Inputs!$B$10*(1+Inputs!$B$19)^$A25)</f>
        <v>-940.04335542557931</v>
      </c>
      <c r="G25" s="6">
        <f>IF(AND($A25&gt;0,MOD($A25,12)=0),-Inputs!$B$9*(1+Inputs!$B$19)^$A25,0)</f>
        <v>0</v>
      </c>
      <c r="H25" s="6">
        <f>IF($A25=0,0,-SUMPRODUCT((Maintenance!$A$6:$A$55&lt;&gt;"")*(Maintenance!$I$6:$I$55&lt;&gt;"")*($A25=Maintenance!$I$6:$I$55)*Maintenance!$C$6:$C$55*(1+Inputs!$B$19)^$A25)-SUMPRODUCT((Maintenance!$A$6:$A$55&lt;&gt;"")*(Maintenance!$J$6:$J$55&gt;0)*($A25&gt;Maintenance!$I$6:$I$55)*(IFERROR(MOD($A25-Maintenance!$I$6:$I$55,Maintenance!$J$6:$J$55),1)=0)*Maintenance!$C$6:$C$55*(1+Inputs!$B$19)^$A25))</f>
        <v>0</v>
      </c>
      <c r="I25" s="69">
        <f t="shared" si="0"/>
        <v>-2156.6923884431985</v>
      </c>
      <c r="J25" s="68">
        <f>1/(1+Inputs!$B$20)^$A25</f>
        <v>0.92565739808232606</v>
      </c>
      <c r="K25" s="6">
        <f t="shared" si="1"/>
        <v>-1996.3582647502883</v>
      </c>
      <c r="L25" s="6">
        <f>-SUM($I$6:I25)</f>
        <v>118900.71204093522</v>
      </c>
      <c r="M25" s="6">
        <f>-SUM($K$6:K25)</f>
        <v>116765.73544800741</v>
      </c>
    </row>
    <row r="26" spans="1:13" ht="18.2" customHeight="1">
      <c r="A26" s="1">
        <v>20</v>
      </c>
      <c r="B26" s="5">
        <f ca="1">EDATE(Inputs!$B$5,$A26)</f>
        <v>46722</v>
      </c>
      <c r="C26" s="66">
        <f>IF($A26=0,0,Inputs!$B$7)</f>
        <v>1200</v>
      </c>
      <c r="D26" s="6">
        <f>IF($A26=0,-Inputs!$B$4,0)</f>
        <v>0</v>
      </c>
      <c r="E26" s="6">
        <f>IF($A26=0,0,-$C26*Inputs!$B$12/100*Inputs!$B$13*(1+Inputs!$B$19)^$A26)</f>
        <v>-1219.1551308234982</v>
      </c>
      <c r="F26" s="6">
        <f>IF($A26=0,0,-Inputs!$B$10*(1+Inputs!$B$19)^$A26)</f>
        <v>-941.97969082430973</v>
      </c>
      <c r="G26" s="6">
        <f>IF(AND($A26&gt;0,MOD($A26,12)=0),-Inputs!$B$9*(1+Inputs!$B$19)^$A26,0)</f>
        <v>0</v>
      </c>
      <c r="H26" s="6">
        <f>IF($A26=0,0,-SUMPRODUCT((Maintenance!$A$6:$A$55&lt;&gt;"")*(Maintenance!$I$6:$I$55&lt;&gt;"")*($A26=Maintenance!$I$6:$I$55)*Maintenance!$C$6:$C$55*(1+Inputs!$B$19)^$A26)-SUMPRODUCT((Maintenance!$A$6:$A$55&lt;&gt;"")*(Maintenance!$J$6:$J$55&gt;0)*($A26&gt;Maintenance!$I$6:$I$55)*(IFERROR(MOD($A26-Maintenance!$I$6:$I$55,Maintenance!$J$6:$J$55),1)=0)*Maintenance!$C$6:$C$55*(1+Inputs!$B$19)^$A26))</f>
        <v>0</v>
      </c>
      <c r="I26" s="69">
        <f t="shared" si="0"/>
        <v>-2161.1348216478082</v>
      </c>
      <c r="J26" s="68">
        <f>1/(1+Inputs!$B$20)^$A26</f>
        <v>0.92190145742843688</v>
      </c>
      <c r="K26" s="6">
        <f t="shared" si="1"/>
        <v>-1992.3533417764593</v>
      </c>
      <c r="L26" s="6">
        <f>-SUM($I$6:I26)</f>
        <v>121061.84686258303</v>
      </c>
      <c r="M26" s="6">
        <f>-SUM($K$6:K26)</f>
        <v>118758.08878978387</v>
      </c>
    </row>
    <row r="27" spans="1:13" ht="18.2" customHeight="1">
      <c r="A27" s="1">
        <v>21</v>
      </c>
      <c r="B27" s="5">
        <f ca="1">EDATE(Inputs!$B$5,$A27)</f>
        <v>46753</v>
      </c>
      <c r="C27" s="66">
        <f>IF($A27=0,0,Inputs!$B$7)</f>
        <v>1200</v>
      </c>
      <c r="D27" s="6">
        <f>IF($A27=0,-Inputs!$B$4,0)</f>
        <v>0</v>
      </c>
      <c r="E27" s="6">
        <f>IF($A27=0,0,-$C27*Inputs!$B$12/100*Inputs!$B$13*(1+Inputs!$B$19)^$A27)</f>
        <v>-1221.6663907805332</v>
      </c>
      <c r="F27" s="6">
        <f>IF($A27=0,0,-Inputs!$B$10*(1+Inputs!$B$19)^$A27)</f>
        <v>-943.92001475692473</v>
      </c>
      <c r="G27" s="6">
        <f>IF(AND($A27&gt;0,MOD($A27,12)=0),-Inputs!$B$9*(1+Inputs!$B$19)^$A27,0)</f>
        <v>0</v>
      </c>
      <c r="H27" s="6">
        <f>IF($A27=0,0,-SUMPRODUCT((Maintenance!$A$6:$A$55&lt;&gt;"")*(Maintenance!$I$6:$I$55&lt;&gt;"")*($A27=Maintenance!$I$6:$I$55)*Maintenance!$C$6:$C$55*(1+Inputs!$B$19)^$A27)-SUMPRODUCT((Maintenance!$A$6:$A$55&lt;&gt;"")*(Maintenance!$J$6:$J$55&gt;0)*($A27&gt;Maintenance!$I$6:$I$55)*(IFERROR(MOD($A27-Maintenance!$I$6:$I$55,Maintenance!$J$6:$J$55),1)=0)*Maintenance!$C$6:$C$55*(1+Inputs!$B$19)^$A27))</f>
        <v>0</v>
      </c>
      <c r="I27" s="69">
        <f t="shared" si="0"/>
        <v>-2165.5864055374577</v>
      </c>
      <c r="J27" s="68">
        <f>1/(1+Inputs!$B$20)^$A27</f>
        <v>0.91816075685173459</v>
      </c>
      <c r="K27" s="6">
        <f t="shared" si="1"/>
        <v>-1988.3564531360996</v>
      </c>
      <c r="L27" s="6">
        <f>-SUM($I$6:I27)</f>
        <v>123227.43326812048</v>
      </c>
      <c r="M27" s="6">
        <f>-SUM($K$6:K27)</f>
        <v>120746.44524291997</v>
      </c>
    </row>
    <row r="28" spans="1:13" ht="18.2" customHeight="1">
      <c r="A28" s="1">
        <v>22</v>
      </c>
      <c r="B28" s="5">
        <f ca="1">EDATE(Inputs!$B$5,$A28)</f>
        <v>46784</v>
      </c>
      <c r="C28" s="66">
        <f>IF($A28=0,0,Inputs!$B$7)</f>
        <v>1200</v>
      </c>
      <c r="D28" s="6">
        <f>IF($A28=0,-Inputs!$B$4,0)</f>
        <v>0</v>
      </c>
      <c r="E28" s="6">
        <f>IF($A28=0,0,-$C28*Inputs!$B$12/100*Inputs!$B$13*(1+Inputs!$B$19)^$A28)</f>
        <v>-1224.1828235219107</v>
      </c>
      <c r="F28" s="6">
        <f>IF($A28=0,0,-Inputs!$B$10*(1+Inputs!$B$19)^$A28)</f>
        <v>-945.86433543915155</v>
      </c>
      <c r="G28" s="6">
        <f>IF(AND($A28&gt;0,MOD($A28,12)=0),-Inputs!$B$9*(1+Inputs!$B$19)^$A28,0)</f>
        <v>0</v>
      </c>
      <c r="H28" s="6">
        <f>IF($A28=0,0,-SUMPRODUCT((Maintenance!$A$6:$A$55&lt;&gt;"")*(Maintenance!$I$6:$I$55&lt;&gt;"")*($A28=Maintenance!$I$6:$I$55)*Maintenance!$C$6:$C$55*(1+Inputs!$B$19)^$A28)-SUMPRODUCT((Maintenance!$A$6:$A$55&lt;&gt;"")*(Maintenance!$J$6:$J$55&gt;0)*($A28&gt;Maintenance!$I$6:$I$55)*(IFERROR(MOD($A28-Maintenance!$I$6:$I$55,Maintenance!$J$6:$J$55),1)=0)*Maintenance!$C$6:$C$55*(1+Inputs!$B$19)^$A28))</f>
        <v>0</v>
      </c>
      <c r="I28" s="69">
        <f t="shared" si="0"/>
        <v>-2170.0471589610625</v>
      </c>
      <c r="J28" s="68">
        <f>1/(1+Inputs!$B$20)^$A28</f>
        <v>0.91443523451419417</v>
      </c>
      <c r="K28" s="6">
        <f t="shared" si="1"/>
        <v>-1984.36758271142</v>
      </c>
      <c r="L28" s="6">
        <f>-SUM($I$6:I28)</f>
        <v>125397.48042708155</v>
      </c>
      <c r="M28" s="6">
        <f>-SUM($K$6:K28)</f>
        <v>122730.81282563139</v>
      </c>
    </row>
    <row r="29" spans="1:13" ht="18.2" customHeight="1">
      <c r="A29" s="1">
        <v>23</v>
      </c>
      <c r="B29" s="5">
        <f ca="1">EDATE(Inputs!$B$5,$A29)</f>
        <v>46813</v>
      </c>
      <c r="C29" s="66">
        <f>IF($A29=0,0,Inputs!$B$7)</f>
        <v>1200</v>
      </c>
      <c r="D29" s="6">
        <f>IF($A29=0,-Inputs!$B$4,0)</f>
        <v>0</v>
      </c>
      <c r="E29" s="6">
        <f>IF($A29=0,0,-$C29*Inputs!$B$12/100*Inputs!$B$13*(1+Inputs!$B$19)^$A29)</f>
        <v>-1226.7044397027198</v>
      </c>
      <c r="F29" s="6">
        <f>IF($A29=0,0,-Inputs!$B$10*(1+Inputs!$B$19)^$A29)</f>
        <v>-947.81266110363993</v>
      </c>
      <c r="G29" s="6">
        <f>IF(AND($A29&gt;0,MOD($A29,12)=0),-Inputs!$B$9*(1+Inputs!$B$19)^$A29,0)</f>
        <v>0</v>
      </c>
      <c r="H29" s="6">
        <f>IF($A29=0,0,-SUMPRODUCT((Maintenance!$A$6:$A$55&lt;&gt;"")*(Maintenance!$I$6:$I$55&lt;&gt;"")*($A29=Maintenance!$I$6:$I$55)*Maintenance!$C$6:$C$55*(1+Inputs!$B$19)^$A29)-SUMPRODUCT((Maintenance!$A$6:$A$55&lt;&gt;"")*(Maintenance!$J$6:$J$55&gt;0)*($A29&gt;Maintenance!$I$6:$I$55)*(IFERROR(MOD($A29-Maintenance!$I$6:$I$55,Maintenance!$J$6:$J$55),1)=0)*Maintenance!$C$6:$C$55*(1+Inputs!$B$19)^$A29))</f>
        <v>0</v>
      </c>
      <c r="I29" s="69">
        <f t="shared" si="0"/>
        <v>-2174.5171008063598</v>
      </c>
      <c r="J29" s="68">
        <f>1/(1+Inputs!$B$20)^$A29</f>
        <v>0.9107248288287042</v>
      </c>
      <c r="K29" s="6">
        <f t="shared" si="1"/>
        <v>-1980.3867144169621</v>
      </c>
      <c r="L29" s="6">
        <f>-SUM($I$6:I29)</f>
        <v>127571.99752788791</v>
      </c>
      <c r="M29" s="6">
        <f>-SUM($K$6:K29)</f>
        <v>124711.19954004836</v>
      </c>
    </row>
    <row r="30" spans="1:13" ht="18.2" customHeight="1">
      <c r="A30" s="1">
        <v>24</v>
      </c>
      <c r="B30" s="5">
        <f ca="1">EDATE(Inputs!$B$5,$A30)</f>
        <v>46844</v>
      </c>
      <c r="C30" s="66">
        <f>IF($A30=0,0,Inputs!$B$7)</f>
        <v>1200</v>
      </c>
      <c r="D30" s="6">
        <f>IF($A30=0,-Inputs!$B$4,0)</f>
        <v>0</v>
      </c>
      <c r="E30" s="6">
        <f>IF($A30=0,0,-$C30*Inputs!$B$12/100*Inputs!$B$13*(1+Inputs!$B$19)^$A30)</f>
        <v>-1229.2312499999966</v>
      </c>
      <c r="F30" s="6">
        <f>IF($A30=0,0,-Inputs!$B$10*(1+Inputs!$B$19)^$A30)</f>
        <v>-949.76499999999737</v>
      </c>
      <c r="G30" s="6">
        <f>IF(AND($A30&gt;0,MOD($A30,12)=0),-Inputs!$B$9*(1+Inputs!$B$19)^$A30,0)</f>
        <v>-1313.2812499999964</v>
      </c>
      <c r="H30" s="6">
        <f>IF($A30=0,0,-SUMPRODUCT((Maintenance!$A$6:$A$55&lt;&gt;"")*(Maintenance!$I$6:$I$55&lt;&gt;"")*($A30=Maintenance!$I$6:$I$55)*Maintenance!$C$6:$C$55*(1+Inputs!$B$19)^$A30)-SUMPRODUCT((Maintenance!$A$6:$A$55&lt;&gt;"")*(Maintenance!$J$6:$J$55&gt;0)*($A30&gt;Maintenance!$I$6:$I$55)*(IFERROR(MOD($A30-Maintenance!$I$6:$I$55,Maintenance!$J$6:$J$55),1)=0)*Maintenance!$C$6:$C$55*(1+Inputs!$B$19)^$A30))</f>
        <v>-5253.1249999999854</v>
      </c>
      <c r="I30" s="69">
        <f t="shared" si="0"/>
        <v>-8745.4024999999747</v>
      </c>
      <c r="J30" s="68">
        <f>1/(1+Inputs!$B$20)^$A30</f>
        <v>0.90702947845804782</v>
      </c>
      <c r="K30" s="6">
        <f t="shared" si="1"/>
        <v>-7932.3378684806848</v>
      </c>
      <c r="L30" s="6">
        <f>-SUM($I$6:I30)</f>
        <v>136317.4000278879</v>
      </c>
      <c r="M30" s="6">
        <f>-SUM($K$6:K30)</f>
        <v>132643.53740852905</v>
      </c>
    </row>
    <row r="31" spans="1:13" ht="18.2" customHeight="1">
      <c r="A31" s="1">
        <v>25</v>
      </c>
      <c r="B31" s="5">
        <f ca="1">EDATE(Inputs!$B$5,$A31)</f>
        <v>46874</v>
      </c>
      <c r="C31" s="66">
        <f>IF($A31=0,0,Inputs!$B$7)</f>
        <v>1200</v>
      </c>
      <c r="D31" s="6">
        <f>IF($A31=0,-Inputs!$B$4,0)</f>
        <v>0</v>
      </c>
      <c r="E31" s="6">
        <f>IF($A31=0,0,-$C31*Inputs!$B$12/100*Inputs!$B$13*(1+Inputs!$B$19)^$A31)</f>
        <v>-1231.7632651127708</v>
      </c>
      <c r="F31" s="6">
        <f>IF($A31=0,0,-Inputs!$B$10*(1+Inputs!$B$19)^$A31)</f>
        <v>-951.72136039482461</v>
      </c>
      <c r="G31" s="6">
        <f>IF(AND($A31&gt;0,MOD($A31,12)=0),-Inputs!$B$9*(1+Inputs!$B$19)^$A31,0)</f>
        <v>0</v>
      </c>
      <c r="H31" s="6">
        <f>IF($A31=0,0,-SUMPRODUCT((Maintenance!$A$6:$A$55&lt;&gt;"")*(Maintenance!$I$6:$I$55&lt;&gt;"")*($A31=Maintenance!$I$6:$I$55)*Maintenance!$C$6:$C$55*(1+Inputs!$B$19)^$A31)-SUMPRODUCT((Maintenance!$A$6:$A$55&lt;&gt;"")*(Maintenance!$J$6:$J$55&gt;0)*($A31&gt;Maintenance!$I$6:$I$55)*(IFERROR(MOD($A31-Maintenance!$I$6:$I$55,Maintenance!$J$6:$J$55),1)=0)*Maintenance!$C$6:$C$55*(1+Inputs!$B$19)^$A31))</f>
        <v>0</v>
      </c>
      <c r="I31" s="69">
        <f t="shared" si="0"/>
        <v>-2183.4846255075954</v>
      </c>
      <c r="J31" s="68">
        <f>1/(1+Inputs!$B$20)^$A31</f>
        <v>0.90334912231389097</v>
      </c>
      <c r="K31" s="6">
        <f t="shared" si="1"/>
        <v>-1972.4489200381613</v>
      </c>
      <c r="L31" s="6">
        <f>-SUM($I$6:I31)</f>
        <v>138500.88465339548</v>
      </c>
      <c r="M31" s="6">
        <f>-SUM($K$6:K31)</f>
        <v>134615.9863285672</v>
      </c>
    </row>
    <row r="32" spans="1:13" ht="18.2" customHeight="1">
      <c r="A32" s="1">
        <v>26</v>
      </c>
      <c r="B32" s="5">
        <f ca="1">EDATE(Inputs!$B$5,$A32)</f>
        <v>46905</v>
      </c>
      <c r="C32" s="66">
        <f>IF($A32=0,0,Inputs!$B$7)</f>
        <v>1200</v>
      </c>
      <c r="D32" s="6">
        <f>IF($A32=0,-Inputs!$B$4,0)</f>
        <v>0</v>
      </c>
      <c r="E32" s="6">
        <f>IF($A32=0,0,-$C32*Inputs!$B$12/100*Inputs!$B$13*(1+Inputs!$B$19)^$A32)</f>
        <v>-1234.3004957621099</v>
      </c>
      <c r="F32" s="6">
        <f>IF($A32=0,0,-Inputs!$B$10*(1+Inputs!$B$19)^$A32)</f>
        <v>-953.68175057174994</v>
      </c>
      <c r="G32" s="6">
        <f>IF(AND($A32&gt;0,MOD($A32,12)=0),-Inputs!$B$9*(1+Inputs!$B$19)^$A32,0)</f>
        <v>0</v>
      </c>
      <c r="H32" s="6">
        <f>IF($A32=0,0,-SUMPRODUCT((Maintenance!$A$6:$A$55&lt;&gt;"")*(Maintenance!$I$6:$I$55&lt;&gt;"")*($A32=Maintenance!$I$6:$I$55)*Maintenance!$C$6:$C$55*(1+Inputs!$B$19)^$A32)-SUMPRODUCT((Maintenance!$A$6:$A$55&lt;&gt;"")*(Maintenance!$J$6:$J$55&gt;0)*($A32&gt;Maintenance!$I$6:$I$55)*(IFERROR(MOD($A32-Maintenance!$I$6:$I$55,Maintenance!$J$6:$J$55),1)=0)*Maintenance!$C$6:$C$55*(1+Inputs!$B$19)^$A32))</f>
        <v>0</v>
      </c>
      <c r="I32" s="69">
        <f t="shared" si="0"/>
        <v>-2187.9822463338596</v>
      </c>
      <c r="J32" s="68">
        <f>1/(1+Inputs!$B$20)^$A32</f>
        <v>0.8996836995557701</v>
      </c>
      <c r="K32" s="6">
        <f t="shared" si="1"/>
        <v>-1968.4919619439911</v>
      </c>
      <c r="L32" s="6">
        <f>-SUM($I$6:I32)</f>
        <v>140688.86689972933</v>
      </c>
      <c r="M32" s="6">
        <f>-SUM($K$6:K32)</f>
        <v>136584.47829051121</v>
      </c>
    </row>
    <row r="33" spans="1:13" ht="18.2" customHeight="1">
      <c r="A33" s="1">
        <v>27</v>
      </c>
      <c r="B33" s="5">
        <f ca="1">EDATE(Inputs!$B$5,$A33)</f>
        <v>46935</v>
      </c>
      <c r="C33" s="66">
        <f>IF($A33=0,0,Inputs!$B$7)</f>
        <v>1200</v>
      </c>
      <c r="D33" s="6">
        <f>IF($A33=0,-Inputs!$B$4,0)</f>
        <v>0</v>
      </c>
      <c r="E33" s="6">
        <f>IF($A33=0,0,-$C33*Inputs!$B$12/100*Inputs!$B$13*(1+Inputs!$B$19)^$A33)</f>
        <v>-1236.8429526911655</v>
      </c>
      <c r="F33" s="6">
        <f>IF($A33=0,0,-Inputs!$B$10*(1+Inputs!$B$19)^$A33)</f>
        <v>-955.64617883146468</v>
      </c>
      <c r="G33" s="6">
        <f>IF(AND($A33&gt;0,MOD($A33,12)=0),-Inputs!$B$9*(1+Inputs!$B$19)^$A33,0)</f>
        <v>0</v>
      </c>
      <c r="H33" s="6">
        <f>IF($A33=0,0,-SUMPRODUCT((Maintenance!$A$6:$A$55&lt;&gt;"")*(Maintenance!$I$6:$I$55&lt;&gt;"")*($A33=Maintenance!$I$6:$I$55)*Maintenance!$C$6:$C$55*(1+Inputs!$B$19)^$A33)-SUMPRODUCT((Maintenance!$A$6:$A$55&lt;&gt;"")*(Maintenance!$J$6:$J$55&gt;0)*($A33&gt;Maintenance!$I$6:$I$55)*(IFERROR(MOD($A33-Maintenance!$I$6:$I$55,Maintenance!$J$6:$J$55),1)=0)*Maintenance!$C$6:$C$55*(1+Inputs!$B$19)^$A33))</f>
        <v>0</v>
      </c>
      <c r="I33" s="69">
        <f t="shared" si="0"/>
        <v>-2192.48913152263</v>
      </c>
      <c r="J33" s="68">
        <f>1/(1+Inputs!$B$20)^$A33</f>
        <v>0.89603314959008773</v>
      </c>
      <c r="K33" s="6">
        <f t="shared" si="1"/>
        <v>-1964.5429419602583</v>
      </c>
      <c r="L33" s="6">
        <f>-SUM($I$6:I33)</f>
        <v>142881.35603125195</v>
      </c>
      <c r="M33" s="6">
        <f>-SUM($K$6:K33)</f>
        <v>138549.02123247145</v>
      </c>
    </row>
    <row r="34" spans="1:13" ht="18.2" customHeight="1">
      <c r="A34" s="1">
        <v>28</v>
      </c>
      <c r="B34" s="5">
        <f ca="1">EDATE(Inputs!$B$5,$A34)</f>
        <v>46966</v>
      </c>
      <c r="C34" s="66">
        <f>IF($A34=0,0,Inputs!$B$7)</f>
        <v>1200</v>
      </c>
      <c r="D34" s="6">
        <f>IF($A34=0,-Inputs!$B$4,0)</f>
        <v>0</v>
      </c>
      <c r="E34" s="6">
        <f>IF($A34=0,0,-$C34*Inputs!$B$12/100*Inputs!$B$13*(1+Inputs!$B$19)^$A34)</f>
        <v>-1239.3906466652184</v>
      </c>
      <c r="F34" s="6">
        <f>IF($A34=0,0,-Inputs!$B$10*(1+Inputs!$B$19)^$A34)</f>
        <v>-957.61465349175842</v>
      </c>
      <c r="G34" s="6">
        <f>IF(AND($A34&gt;0,MOD($A34,12)=0),-Inputs!$B$9*(1+Inputs!$B$19)^$A34,0)</f>
        <v>0</v>
      </c>
      <c r="H34" s="6">
        <f>IF($A34=0,0,-SUMPRODUCT((Maintenance!$A$6:$A$55&lt;&gt;"")*(Maintenance!$I$6:$I$55&lt;&gt;"")*($A34=Maintenance!$I$6:$I$55)*Maintenance!$C$6:$C$55*(1+Inputs!$B$19)^$A34)-SUMPRODUCT((Maintenance!$A$6:$A$55&lt;&gt;"")*(Maintenance!$J$6:$J$55&gt;0)*($A34&gt;Maintenance!$I$6:$I$55)*(IFERROR(MOD($A34-Maintenance!$I$6:$I$55,Maintenance!$J$6:$J$55),1)=0)*Maintenance!$C$6:$C$55*(1+Inputs!$B$19)^$A34))</f>
        <v>0</v>
      </c>
      <c r="I34" s="69">
        <f t="shared" si="0"/>
        <v>-2197.0053001569768</v>
      </c>
      <c r="J34" s="68">
        <f>1/(1+Inputs!$B$20)^$A34</f>
        <v>0.89239741206911061</v>
      </c>
      <c r="K34" s="6">
        <f t="shared" si="1"/>
        <v>-1960.6018441622057</v>
      </c>
      <c r="L34" s="6">
        <f>-SUM($I$6:I34)</f>
        <v>145078.36133140893</v>
      </c>
      <c r="M34" s="6">
        <f>-SUM($K$6:K34)</f>
        <v>140509.62307663367</v>
      </c>
    </row>
    <row r="35" spans="1:13" ht="18.2" customHeight="1">
      <c r="A35" s="1">
        <v>29</v>
      </c>
      <c r="B35" s="5">
        <f ca="1">EDATE(Inputs!$B$5,$A35)</f>
        <v>46997</v>
      </c>
      <c r="C35" s="66">
        <f>IF($A35=0,0,Inputs!$B$7)</f>
        <v>1200</v>
      </c>
      <c r="D35" s="6">
        <f>IF($A35=0,-Inputs!$B$4,0)</f>
        <v>0</v>
      </c>
      <c r="E35" s="6">
        <f>IF($A35=0,0,-$C35*Inputs!$B$12/100*Inputs!$B$13*(1+Inputs!$B$19)^$A35)</f>
        <v>-1241.9435884717229</v>
      </c>
      <c r="F35" s="6">
        <f>IF($A35=0,0,-Inputs!$B$10*(1+Inputs!$B$19)^$A35)</f>
        <v>-959.58718288755347</v>
      </c>
      <c r="G35" s="6">
        <f>IF(AND($A35&gt;0,MOD($A35,12)=0),-Inputs!$B$9*(1+Inputs!$B$19)^$A35,0)</f>
        <v>0</v>
      </c>
      <c r="H35" s="6">
        <f>IF($A35=0,0,-SUMPRODUCT((Maintenance!$A$6:$A$55&lt;&gt;"")*(Maintenance!$I$6:$I$55&lt;&gt;"")*($A35=Maintenance!$I$6:$I$55)*Maintenance!$C$6:$C$55*(1+Inputs!$B$19)^$A35)-SUMPRODUCT((Maintenance!$A$6:$A$55&lt;&gt;"")*(Maintenance!$J$6:$J$55&gt;0)*($A35&gt;Maintenance!$I$6:$I$55)*(IFERROR(MOD($A35-Maintenance!$I$6:$I$55,Maintenance!$J$6:$J$55),1)=0)*Maintenance!$C$6:$C$55*(1+Inputs!$B$19)^$A35))</f>
        <v>0</v>
      </c>
      <c r="I35" s="69">
        <f t="shared" si="0"/>
        <v>-2201.5307713592765</v>
      </c>
      <c r="J35" s="68">
        <f>1/(1+Inputs!$B$20)^$A35</f>
        <v>0.88877642688997216</v>
      </c>
      <c r="K35" s="6">
        <f t="shared" si="1"/>
        <v>-1956.668652657022</v>
      </c>
      <c r="L35" s="6">
        <f>-SUM($I$6:I35)</f>
        <v>147279.89210276821</v>
      </c>
      <c r="M35" s="6">
        <f>-SUM($K$6:K35)</f>
        <v>142466.29172929068</v>
      </c>
    </row>
    <row r="36" spans="1:13" ht="18.2" customHeight="1">
      <c r="A36" s="1">
        <v>30</v>
      </c>
      <c r="B36" s="5">
        <f ca="1">EDATE(Inputs!$B$5,$A36)</f>
        <v>47027</v>
      </c>
      <c r="C36" s="66">
        <f>IF($A36=0,0,Inputs!$B$7)</f>
        <v>1200</v>
      </c>
      <c r="D36" s="6">
        <f>IF($A36=0,-Inputs!$B$4,0)</f>
        <v>0</v>
      </c>
      <c r="E36" s="6">
        <f>IF($A36=0,0,-$C36*Inputs!$B$12/100*Inputs!$B$13*(1+Inputs!$B$19)^$A36)</f>
        <v>-1244.5017889203557</v>
      </c>
      <c r="F36" s="6">
        <f>IF($A36=0,0,-Inputs!$B$10*(1+Inputs!$B$19)^$A36)</f>
        <v>-961.56377537094147</v>
      </c>
      <c r="G36" s="6">
        <f>IF(AND($A36&gt;0,MOD($A36,12)=0),-Inputs!$B$9*(1+Inputs!$B$19)^$A36,0)</f>
        <v>0</v>
      </c>
      <c r="H36" s="6">
        <f>IF($A36=0,0,-SUMPRODUCT((Maintenance!$A$6:$A$55&lt;&gt;"")*(Maintenance!$I$6:$I$55&lt;&gt;"")*($A36=Maintenance!$I$6:$I$55)*Maintenance!$C$6:$C$55*(1+Inputs!$B$19)^$A36)-SUMPRODUCT((Maintenance!$A$6:$A$55&lt;&gt;"")*(Maintenance!$J$6:$J$55&gt;0)*($A36&gt;Maintenance!$I$6:$I$55)*(IFERROR(MOD($A36-Maintenance!$I$6:$I$55,Maintenance!$J$6:$J$55),1)=0)*Maintenance!$C$6:$C$55*(1+Inputs!$B$19)^$A36))</f>
        <v>0</v>
      </c>
      <c r="I36" s="69">
        <f t="shared" si="0"/>
        <v>-2206.0655642912971</v>
      </c>
      <c r="J36" s="68">
        <f>1/(1+Inputs!$B$20)^$A36</f>
        <v>0.88517013419367852</v>
      </c>
      <c r="K36" s="6">
        <f t="shared" si="1"/>
        <v>-1952.7433515837806</v>
      </c>
      <c r="L36" s="6">
        <f>-SUM($I$6:I36)</f>
        <v>149485.9576670595</v>
      </c>
      <c r="M36" s="6">
        <f>-SUM($K$6:K36)</f>
        <v>144419.03508087446</v>
      </c>
    </row>
    <row r="37" spans="1:13" ht="18.2" customHeight="1">
      <c r="A37" s="1">
        <v>31</v>
      </c>
      <c r="B37" s="5">
        <f ca="1">EDATE(Inputs!$B$5,$A37)</f>
        <v>47058</v>
      </c>
      <c r="C37" s="66">
        <f>IF($A37=0,0,Inputs!$B$7)</f>
        <v>1200</v>
      </c>
      <c r="D37" s="6">
        <f>IF($A37=0,-Inputs!$B$4,0)</f>
        <v>0</v>
      </c>
      <c r="E37" s="6">
        <f>IF($A37=0,0,-$C37*Inputs!$B$12/100*Inputs!$B$13*(1+Inputs!$B$19)^$A37)</f>
        <v>-1247.0652588430582</v>
      </c>
      <c r="F37" s="6">
        <f>IF($A37=0,0,-Inputs!$B$10*(1+Inputs!$B$19)^$A37)</f>
        <v>-963.54443931121762</v>
      </c>
      <c r="G37" s="6">
        <f>IF(AND($A37&gt;0,MOD($A37,12)=0),-Inputs!$B$9*(1+Inputs!$B$19)^$A37,0)</f>
        <v>0</v>
      </c>
      <c r="H37" s="6">
        <f>IF($A37=0,0,-SUMPRODUCT((Maintenance!$A$6:$A$55&lt;&gt;"")*(Maintenance!$I$6:$I$55&lt;&gt;"")*($A37=Maintenance!$I$6:$I$55)*Maintenance!$C$6:$C$55*(1+Inputs!$B$19)^$A37)-SUMPRODUCT((Maintenance!$A$6:$A$55&lt;&gt;"")*(Maintenance!$J$6:$J$55&gt;0)*($A37&gt;Maintenance!$I$6:$I$55)*(IFERROR(MOD($A37-Maintenance!$I$6:$I$55,Maintenance!$J$6:$J$55),1)=0)*Maintenance!$C$6:$C$55*(1+Inputs!$B$19)^$A37))</f>
        <v>0</v>
      </c>
      <c r="I37" s="69">
        <f t="shared" si="0"/>
        <v>-2210.609698154276</v>
      </c>
      <c r="J37" s="68">
        <f>1/(1+Inputs!$B$20)^$A37</f>
        <v>0.88157847436411918</v>
      </c>
      <c r="K37" s="6">
        <f t="shared" si="1"/>
        <v>-1948.8259251133727</v>
      </c>
      <c r="L37" s="6">
        <f>-SUM($I$6:I37)</f>
        <v>151696.56736521376</v>
      </c>
      <c r="M37" s="6">
        <f>-SUM($K$6:K37)</f>
        <v>146367.86100598783</v>
      </c>
    </row>
    <row r="38" spans="1:13" ht="18.2" customHeight="1">
      <c r="A38" s="1">
        <v>32</v>
      </c>
      <c r="B38" s="5">
        <f ca="1">EDATE(Inputs!$B$5,$A38)</f>
        <v>47088</v>
      </c>
      <c r="C38" s="66">
        <f>IF($A38=0,0,Inputs!$B$7)</f>
        <v>1200</v>
      </c>
      <c r="D38" s="6">
        <f>IF($A38=0,-Inputs!$B$4,0)</f>
        <v>0</v>
      </c>
      <c r="E38" s="6">
        <f>IF($A38=0,0,-$C38*Inputs!$B$12/100*Inputs!$B$13*(1+Inputs!$B$19)^$A38)</f>
        <v>-1249.6340090940837</v>
      </c>
      <c r="F38" s="6">
        <f>IF($A38=0,0,-Inputs!$B$10*(1+Inputs!$B$19)^$A38)</f>
        <v>-965.52918309491599</v>
      </c>
      <c r="G38" s="6">
        <f>IF(AND($A38&gt;0,MOD($A38,12)=0),-Inputs!$B$9*(1+Inputs!$B$19)^$A38,0)</f>
        <v>0</v>
      </c>
      <c r="H38" s="6">
        <f>IF($A38=0,0,-SUMPRODUCT((Maintenance!$A$6:$A$55&lt;&gt;"")*(Maintenance!$I$6:$I$55&lt;&gt;"")*($A38=Maintenance!$I$6:$I$55)*Maintenance!$C$6:$C$55*(1+Inputs!$B$19)^$A38)-SUMPRODUCT((Maintenance!$A$6:$A$55&lt;&gt;"")*(Maintenance!$J$6:$J$55&gt;0)*($A38&gt;Maintenance!$I$6:$I$55)*(IFERROR(MOD($A38-Maintenance!$I$6:$I$55,Maintenance!$J$6:$J$55),1)=0)*Maintenance!$C$6:$C$55*(1+Inputs!$B$19)^$A38))</f>
        <v>0</v>
      </c>
      <c r="I38" s="69">
        <f t="shared" ref="I38:I69" si="2">SUM(D38:H38)</f>
        <v>-2215.1631921889998</v>
      </c>
      <c r="J38" s="68">
        <f>1/(1+Inputs!$B$20)^$A38</f>
        <v>0.87800138802708161</v>
      </c>
      <c r="K38" s="6">
        <f t="shared" ref="K38:K69" si="3">I38*J38</f>
        <v>-1944.9163574484428</v>
      </c>
      <c r="L38" s="6">
        <f>-SUM($I$6:I38)</f>
        <v>153911.73055740277</v>
      </c>
      <c r="M38" s="6">
        <f>-SUM($K$6:K38)</f>
        <v>148312.77736343627</v>
      </c>
    </row>
    <row r="39" spans="1:13" ht="18.2" customHeight="1">
      <c r="A39" s="1">
        <v>33</v>
      </c>
      <c r="B39" s="5">
        <f ca="1">EDATE(Inputs!$B$5,$A39)</f>
        <v>47119</v>
      </c>
      <c r="C39" s="66">
        <f>IF($A39=0,0,Inputs!$B$7)</f>
        <v>1200</v>
      </c>
      <c r="D39" s="6">
        <f>IF($A39=0,-Inputs!$B$4,0)</f>
        <v>0</v>
      </c>
      <c r="E39" s="6">
        <f>IF($A39=0,0,-$C39*Inputs!$B$12/100*Inputs!$B$13*(1+Inputs!$B$19)^$A39)</f>
        <v>-1252.2080505500446</v>
      </c>
      <c r="F39" s="6">
        <f>IF($A39=0,0,-Inputs!$B$10*(1+Inputs!$B$19)^$A39)</f>
        <v>-967.51801512584643</v>
      </c>
      <c r="G39" s="6">
        <f>IF(AND($A39&gt;0,MOD($A39,12)=0),-Inputs!$B$9*(1+Inputs!$B$19)^$A39,0)</f>
        <v>0</v>
      </c>
      <c r="H39" s="6">
        <f>IF($A39=0,0,-SUMPRODUCT((Maintenance!$A$6:$A$55&lt;&gt;"")*(Maintenance!$I$6:$I$55&lt;&gt;"")*($A39=Maintenance!$I$6:$I$55)*Maintenance!$C$6:$C$55*(1+Inputs!$B$19)^$A39)-SUMPRODUCT((Maintenance!$A$6:$A$55&lt;&gt;"")*(Maintenance!$J$6:$J$55&gt;0)*($A39&gt;Maintenance!$I$6:$I$55)*(IFERROR(MOD($A39-Maintenance!$I$6:$I$55,Maintenance!$J$6:$J$55),1)=0)*Maintenance!$C$6:$C$55*(1+Inputs!$B$19)^$A39))</f>
        <v>0</v>
      </c>
      <c r="I39" s="69">
        <f t="shared" si="2"/>
        <v>-2219.7260656758908</v>
      </c>
      <c r="J39" s="68">
        <f>1/(1+Inputs!$B$20)^$A39</f>
        <v>0.87443881604926998</v>
      </c>
      <c r="K39" s="6">
        <f t="shared" si="3"/>
        <v>-1941.01463282333</v>
      </c>
      <c r="L39" s="6">
        <f>-SUM($I$6:I39)</f>
        <v>156131.45662307867</v>
      </c>
      <c r="M39" s="6">
        <f>-SUM($K$6:K39)</f>
        <v>150253.79199625959</v>
      </c>
    </row>
    <row r="40" spans="1:13" ht="18.2" customHeight="1">
      <c r="A40" s="1">
        <v>34</v>
      </c>
      <c r="B40" s="5">
        <f ca="1">EDATE(Inputs!$B$5,$A40)</f>
        <v>47150</v>
      </c>
      <c r="C40" s="66">
        <f>IF($A40=0,0,Inputs!$B$7)</f>
        <v>1200</v>
      </c>
      <c r="D40" s="6">
        <f>IF($A40=0,-Inputs!$B$4,0)</f>
        <v>0</v>
      </c>
      <c r="E40" s="6">
        <f>IF($A40=0,0,-$C40*Inputs!$B$12/100*Inputs!$B$13*(1+Inputs!$B$19)^$A40)</f>
        <v>-1254.7873941099567</v>
      </c>
      <c r="F40" s="6">
        <f>IF($A40=0,0,-Inputs!$B$10*(1+Inputs!$B$19)^$A40)</f>
        <v>-969.51094382512895</v>
      </c>
      <c r="G40" s="6">
        <f>IF(AND($A40&gt;0,MOD($A40,12)=0),-Inputs!$B$9*(1+Inputs!$B$19)^$A40,0)</f>
        <v>0</v>
      </c>
      <c r="H40" s="6">
        <f>IF($A40=0,0,-SUMPRODUCT((Maintenance!$A$6:$A$55&lt;&gt;"")*(Maintenance!$I$6:$I$55&lt;&gt;"")*($A40=Maintenance!$I$6:$I$55)*Maintenance!$C$6:$C$55*(1+Inputs!$B$19)^$A40)-SUMPRODUCT((Maintenance!$A$6:$A$55&lt;&gt;"")*(Maintenance!$J$6:$J$55&gt;0)*($A40&gt;Maintenance!$I$6:$I$55)*(IFERROR(MOD($A40-Maintenance!$I$6:$I$55,Maintenance!$J$6:$J$55),1)=0)*Maintenance!$C$6:$C$55*(1+Inputs!$B$19)^$A40))</f>
        <v>0</v>
      </c>
      <c r="I40" s="69">
        <f t="shared" si="2"/>
        <v>-2224.2983379350858</v>
      </c>
      <c r="J40" s="68">
        <f>1/(1+Inputs!$B$20)^$A40</f>
        <v>0.87089069953732667</v>
      </c>
      <c r="K40" s="6">
        <f t="shared" si="3"/>
        <v>-1937.1207355039999</v>
      </c>
      <c r="L40" s="6">
        <f>-SUM($I$6:I40)</f>
        <v>158355.75496101376</v>
      </c>
      <c r="M40" s="6">
        <f>-SUM($K$6:K40)</f>
        <v>152190.91273176359</v>
      </c>
    </row>
    <row r="41" spans="1:13" ht="18.2" customHeight="1">
      <c r="A41" s="1">
        <v>35</v>
      </c>
      <c r="B41" s="5">
        <f ca="1">EDATE(Inputs!$B$5,$A41)</f>
        <v>47178</v>
      </c>
      <c r="C41" s="66">
        <f>IF($A41=0,0,Inputs!$B$7)</f>
        <v>1200</v>
      </c>
      <c r="D41" s="6">
        <f>IF($A41=0,-Inputs!$B$4,0)</f>
        <v>0</v>
      </c>
      <c r="E41" s="6">
        <f>IF($A41=0,0,-$C41*Inputs!$B$12/100*Inputs!$B$13*(1+Inputs!$B$19)^$A41)</f>
        <v>-1257.3720506952859</v>
      </c>
      <c r="F41" s="6">
        <f>IF($A41=0,0,-Inputs!$B$10*(1+Inputs!$B$19)^$A41)</f>
        <v>-971.50797763122944</v>
      </c>
      <c r="G41" s="6">
        <f>IF(AND($A41&gt;0,MOD($A41,12)=0),-Inputs!$B$9*(1+Inputs!$B$19)^$A41,0)</f>
        <v>0</v>
      </c>
      <c r="H41" s="6">
        <f>IF($A41=0,0,-SUMPRODUCT((Maintenance!$A$6:$A$55&lt;&gt;"")*(Maintenance!$I$6:$I$55&lt;&gt;"")*($A41=Maintenance!$I$6:$I$55)*Maintenance!$C$6:$C$55*(1+Inputs!$B$19)^$A41)-SUMPRODUCT((Maintenance!$A$6:$A$55&lt;&gt;"")*(Maintenance!$J$6:$J$55&gt;0)*($A41&gt;Maintenance!$I$6:$I$55)*(IFERROR(MOD($A41-Maintenance!$I$6:$I$55,Maintenance!$J$6:$J$55),1)=0)*Maintenance!$C$6:$C$55*(1+Inputs!$B$19)^$A41))</f>
        <v>0</v>
      </c>
      <c r="I41" s="69">
        <f t="shared" si="2"/>
        <v>-2228.8800283265155</v>
      </c>
      <c r="J41" s="68">
        <f>1/(1+Inputs!$B$20)^$A41</f>
        <v>0.86735697983685989</v>
      </c>
      <c r="K41" s="6">
        <f t="shared" si="3"/>
        <v>-1933.2346497879812</v>
      </c>
      <c r="L41" s="6">
        <f>-SUM($I$6:I41)</f>
        <v>160584.63498934027</v>
      </c>
      <c r="M41" s="6">
        <f>-SUM($K$6:K41)</f>
        <v>154124.14738155156</v>
      </c>
    </row>
    <row r="42" spans="1:13" ht="18.2" customHeight="1">
      <c r="A42" s="1">
        <v>36</v>
      </c>
      <c r="B42" s="5">
        <f ca="1">EDATE(Inputs!$B$5,$A42)</f>
        <v>47209</v>
      </c>
      <c r="C42" s="66">
        <f>IF($A42=0,0,Inputs!$B$7)</f>
        <v>1200</v>
      </c>
      <c r="D42" s="6">
        <f>IF($A42=0,-Inputs!$B$4,0)</f>
        <v>0</v>
      </c>
      <c r="E42" s="6">
        <f>IF($A42=0,0,-$C42*Inputs!$B$12/100*Inputs!$B$13*(1+Inputs!$B$19)^$A42)</f>
        <v>-1259.9620312499947</v>
      </c>
      <c r="F42" s="6">
        <f>IF($A42=0,0,-Inputs!$B$10*(1+Inputs!$B$19)^$A42)</f>
        <v>-973.50912499999583</v>
      </c>
      <c r="G42" s="6">
        <f>IF(AND($A42&gt;0,MOD($A42,12)=0),-Inputs!$B$9*(1+Inputs!$B$19)^$A42,0)</f>
        <v>-1346.1132812499943</v>
      </c>
      <c r="H42" s="6">
        <f>IF($A42=0,0,-SUMPRODUCT((Maintenance!$A$6:$A$55&lt;&gt;"")*(Maintenance!$I$6:$I$55&lt;&gt;"")*($A42=Maintenance!$I$6:$I$55)*Maintenance!$C$6:$C$55*(1+Inputs!$B$19)^$A42)-SUMPRODUCT((Maintenance!$A$6:$A$55&lt;&gt;"")*(Maintenance!$J$6:$J$55&gt;0)*($A42&gt;Maintenance!$I$6:$I$55)*(IFERROR(MOD($A42-Maintenance!$I$6:$I$55,Maintenance!$J$6:$J$55),1)=0)*Maintenance!$C$6:$C$55*(1+Inputs!$B$19)^$A42))</f>
        <v>-5384.4531249999773</v>
      </c>
      <c r="I42" s="69">
        <f t="shared" si="2"/>
        <v>-8964.0375624999615</v>
      </c>
      <c r="J42" s="68">
        <f>1/(1+Inputs!$B$20)^$A42</f>
        <v>0.86383759853147313</v>
      </c>
      <c r="K42" s="6">
        <f t="shared" si="3"/>
        <v>-7743.4726811358869</v>
      </c>
      <c r="L42" s="6">
        <f>-SUM($I$6:I42)</f>
        <v>169548.67255184022</v>
      </c>
      <c r="M42" s="6">
        <f>-SUM($K$6:K42)</f>
        <v>161867.62006268746</v>
      </c>
    </row>
    <row r="43" spans="1:13" ht="18.2" customHeight="1">
      <c r="A43" s="1">
        <v>37</v>
      </c>
      <c r="B43" s="5">
        <f ca="1">EDATE(Inputs!$B$5,$A43)</f>
        <v>47239</v>
      </c>
      <c r="C43" s="66">
        <f>IF($A43=0,0,Inputs!$B$7)</f>
        <v>1200</v>
      </c>
      <c r="D43" s="6">
        <f>IF($A43=0,-Inputs!$B$4,0)</f>
        <v>0</v>
      </c>
      <c r="E43" s="6">
        <f>IF($A43=0,0,-$C43*Inputs!$B$12/100*Inputs!$B$13*(1+Inputs!$B$19)^$A43)</f>
        <v>-1262.5573467405882</v>
      </c>
      <c r="F43" s="6">
        <f>IF($A43=0,0,-Inputs!$B$10*(1+Inputs!$B$19)^$A43)</f>
        <v>-975.51439440469369</v>
      </c>
      <c r="G43" s="6">
        <f>IF(AND($A43&gt;0,MOD($A43,12)=0),-Inputs!$B$9*(1+Inputs!$B$19)^$A43,0)</f>
        <v>0</v>
      </c>
      <c r="H43" s="6">
        <f>IF($A43=0,0,-SUMPRODUCT((Maintenance!$A$6:$A$55&lt;&gt;"")*(Maintenance!$I$6:$I$55&lt;&gt;"")*($A43=Maintenance!$I$6:$I$55)*Maintenance!$C$6:$C$55*(1+Inputs!$B$19)^$A43)-SUMPRODUCT((Maintenance!$A$6:$A$55&lt;&gt;"")*(Maintenance!$J$6:$J$55&gt;0)*($A43&gt;Maintenance!$I$6:$I$55)*(IFERROR(MOD($A43-Maintenance!$I$6:$I$55,Maintenance!$J$6:$J$55),1)=0)*Maintenance!$C$6:$C$55*(1+Inputs!$B$19)^$A43))</f>
        <v>0</v>
      </c>
      <c r="I43" s="69">
        <f t="shared" si="2"/>
        <v>-2238.071741145282</v>
      </c>
      <c r="J43" s="68">
        <f>1/(1+Inputs!$B$20)^$A43</f>
        <v>0.86033249744180007</v>
      </c>
      <c r="K43" s="6">
        <f t="shared" si="3"/>
        <v>-1925.4858505134384</v>
      </c>
      <c r="L43" s="6">
        <f>-SUM($I$6:I43)</f>
        <v>171786.7442929855</v>
      </c>
      <c r="M43" s="6">
        <f>-SUM($K$6:K43)</f>
        <v>163793.10591320091</v>
      </c>
    </row>
    <row r="44" spans="1:13" ht="18.2" customHeight="1">
      <c r="A44" s="1">
        <v>38</v>
      </c>
      <c r="B44" s="5">
        <f ca="1">EDATE(Inputs!$B$5,$A44)</f>
        <v>47270</v>
      </c>
      <c r="C44" s="66">
        <f>IF($A44=0,0,Inputs!$B$7)</f>
        <v>1200</v>
      </c>
      <c r="D44" s="6">
        <f>IF($A44=0,-Inputs!$B$4,0)</f>
        <v>0</v>
      </c>
      <c r="E44" s="6">
        <f>IF($A44=0,0,-$C44*Inputs!$B$12/100*Inputs!$B$13*(1+Inputs!$B$19)^$A44)</f>
        <v>-1265.1580081561608</v>
      </c>
      <c r="F44" s="6">
        <f>IF($A44=0,0,-Inputs!$B$10*(1+Inputs!$B$19)^$A44)</f>
        <v>-977.5237943360421</v>
      </c>
      <c r="G44" s="6">
        <f>IF(AND($A44&gt;0,MOD($A44,12)=0),-Inputs!$B$9*(1+Inputs!$B$19)^$A44,0)</f>
        <v>0</v>
      </c>
      <c r="H44" s="6">
        <f>IF($A44=0,0,-SUMPRODUCT((Maintenance!$A$6:$A$55&lt;&gt;"")*(Maintenance!$I$6:$I$55&lt;&gt;"")*($A44=Maintenance!$I$6:$I$55)*Maintenance!$C$6:$C$55*(1+Inputs!$B$19)^$A44)-SUMPRODUCT((Maintenance!$A$6:$A$55&lt;&gt;"")*(Maintenance!$J$6:$J$55&gt;0)*($A44&gt;Maintenance!$I$6:$I$55)*(IFERROR(MOD($A44-Maintenance!$I$6:$I$55,Maintenance!$J$6:$J$55),1)=0)*Maintenance!$C$6:$C$55*(1+Inputs!$B$19)^$A44))</f>
        <v>0</v>
      </c>
      <c r="I44" s="69">
        <f t="shared" si="2"/>
        <v>-2242.6818024922031</v>
      </c>
      <c r="J44" s="68">
        <f>1/(1+Inputs!$B$20)^$A44</f>
        <v>0.856841618624542</v>
      </c>
      <c r="K44" s="6">
        <f t="shared" si="3"/>
        <v>-1921.6231057072248</v>
      </c>
      <c r="L44" s="6">
        <f>-SUM($I$6:I44)</f>
        <v>174029.42609547771</v>
      </c>
      <c r="M44" s="6">
        <f>-SUM($K$6:K44)</f>
        <v>165714.72901890814</v>
      </c>
    </row>
    <row r="45" spans="1:13" ht="18.2" customHeight="1">
      <c r="A45" s="1">
        <v>39</v>
      </c>
      <c r="B45" s="5">
        <f ca="1">EDATE(Inputs!$B$5,$A45)</f>
        <v>47300</v>
      </c>
      <c r="C45" s="66">
        <f>IF($A45=0,0,Inputs!$B$7)</f>
        <v>1200</v>
      </c>
      <c r="D45" s="6">
        <f>IF($A45=0,-Inputs!$B$4,0)</f>
        <v>0</v>
      </c>
      <c r="E45" s="6">
        <f>IF($A45=0,0,-$C45*Inputs!$B$12/100*Inputs!$B$13*(1+Inputs!$B$19)^$A45)</f>
        <v>-1267.7640265084431</v>
      </c>
      <c r="F45" s="6">
        <f>IF($A45=0,0,-Inputs!$B$10*(1+Inputs!$B$19)^$A45)</f>
        <v>-979.53733330224998</v>
      </c>
      <c r="G45" s="6">
        <f>IF(AND($A45&gt;0,MOD($A45,12)=0),-Inputs!$B$9*(1+Inputs!$B$19)^$A45,0)</f>
        <v>0</v>
      </c>
      <c r="H45" s="6">
        <f>IF($A45=0,0,-SUMPRODUCT((Maintenance!$A$6:$A$55&lt;&gt;"")*(Maintenance!$I$6:$I$55&lt;&gt;"")*($A45=Maintenance!$I$6:$I$55)*Maintenance!$C$6:$C$55*(1+Inputs!$B$19)^$A45)-SUMPRODUCT((Maintenance!$A$6:$A$55&lt;&gt;"")*(Maintenance!$J$6:$J$55&gt;0)*($A45&gt;Maintenance!$I$6:$I$55)*(IFERROR(MOD($A45-Maintenance!$I$6:$I$55,Maintenance!$J$6:$J$55),1)=0)*Maintenance!$C$6:$C$55*(1+Inputs!$B$19)^$A45))</f>
        <v>0</v>
      </c>
      <c r="I45" s="69">
        <f t="shared" si="2"/>
        <v>-2247.3013598106932</v>
      </c>
      <c r="J45" s="68">
        <f>1/(1+Inputs!$B$20)^$A45</f>
        <v>0.85336490437151113</v>
      </c>
      <c r="K45" s="6">
        <f t="shared" si="3"/>
        <v>-1917.7681100088191</v>
      </c>
      <c r="L45" s="6">
        <f>-SUM($I$6:I45)</f>
        <v>176276.7274552884</v>
      </c>
      <c r="M45" s="6">
        <f>-SUM($K$6:K45)</f>
        <v>167632.49712891696</v>
      </c>
    </row>
    <row r="46" spans="1:13" ht="18.2" customHeight="1">
      <c r="A46" s="1">
        <v>40</v>
      </c>
      <c r="B46" s="5">
        <f ca="1">EDATE(Inputs!$B$5,$A46)</f>
        <v>47331</v>
      </c>
      <c r="C46" s="66">
        <f>IF($A46=0,0,Inputs!$B$7)</f>
        <v>1200</v>
      </c>
      <c r="D46" s="6">
        <f>IF($A46=0,-Inputs!$B$4,0)</f>
        <v>0</v>
      </c>
      <c r="E46" s="6">
        <f>IF($A46=0,0,-$C46*Inputs!$B$12/100*Inputs!$B$13*(1+Inputs!$B$19)^$A46)</f>
        <v>-1270.3754128318467</v>
      </c>
      <c r="F46" s="6">
        <f>IF($A46=0,0,-Inputs!$B$10*(1+Inputs!$B$19)^$A46)</f>
        <v>-981.55501982905082</v>
      </c>
      <c r="G46" s="6">
        <f>IF(AND($A46&gt;0,MOD($A46,12)=0),-Inputs!$B$9*(1+Inputs!$B$19)^$A46,0)</f>
        <v>0</v>
      </c>
      <c r="H46" s="6">
        <f>IF($A46=0,0,-SUMPRODUCT((Maintenance!$A$6:$A$55&lt;&gt;"")*(Maintenance!$I$6:$I$55&lt;&gt;"")*($A46=Maintenance!$I$6:$I$55)*Maintenance!$C$6:$C$55*(1+Inputs!$B$19)^$A46)-SUMPRODUCT((Maintenance!$A$6:$A$55&lt;&gt;"")*(Maintenance!$J$6:$J$55&gt;0)*($A46&gt;Maintenance!$I$6:$I$55)*(IFERROR(MOD($A46-Maintenance!$I$6:$I$55,Maintenance!$J$6:$J$55),1)=0)*Maintenance!$C$6:$C$55*(1+Inputs!$B$19)^$A46))</f>
        <v>0</v>
      </c>
      <c r="I46" s="69">
        <f t="shared" si="2"/>
        <v>-2251.9304326608976</v>
      </c>
      <c r="J46" s="68">
        <f>1/(1+Inputs!$B$20)^$A46</f>
        <v>0.84990229720867583</v>
      </c>
      <c r="K46" s="6">
        <f t="shared" si="3"/>
        <v>-1913.9208478726241</v>
      </c>
      <c r="L46" s="6">
        <f>-SUM($I$6:I46)</f>
        <v>178528.65788794929</v>
      </c>
      <c r="M46" s="6">
        <f>-SUM($K$6:K46)</f>
        <v>169546.41797678958</v>
      </c>
    </row>
    <row r="47" spans="1:13" ht="18.2" customHeight="1">
      <c r="A47" s="1">
        <v>41</v>
      </c>
      <c r="B47" s="5">
        <f ca="1">EDATE(Inputs!$B$5,$A47)</f>
        <v>47362</v>
      </c>
      <c r="C47" s="66">
        <f>IF($A47=0,0,Inputs!$B$7)</f>
        <v>1200</v>
      </c>
      <c r="D47" s="6">
        <f>IF($A47=0,-Inputs!$B$4,0)</f>
        <v>0</v>
      </c>
      <c r="E47" s="6">
        <f>IF($A47=0,0,-$C47*Inputs!$B$12/100*Inputs!$B$13*(1+Inputs!$B$19)^$A47)</f>
        <v>-1272.9921781835144</v>
      </c>
      <c r="F47" s="6">
        <f>IF($A47=0,0,-Inputs!$B$10*(1+Inputs!$B$19)^$A47)</f>
        <v>-983.57686245974105</v>
      </c>
      <c r="G47" s="6">
        <f>IF(AND($A47&gt;0,MOD($A47,12)=0),-Inputs!$B$9*(1+Inputs!$B$19)^$A47,0)</f>
        <v>0</v>
      </c>
      <c r="H47" s="6">
        <f>IF($A47=0,0,-SUMPRODUCT((Maintenance!$A$6:$A$55&lt;&gt;"")*(Maintenance!$I$6:$I$55&lt;&gt;"")*($A47=Maintenance!$I$6:$I$55)*Maintenance!$C$6:$C$55*(1+Inputs!$B$19)^$A47)-SUMPRODUCT((Maintenance!$A$6:$A$55&lt;&gt;"")*(Maintenance!$J$6:$J$55&gt;0)*($A47&gt;Maintenance!$I$6:$I$55)*(IFERROR(MOD($A47-Maintenance!$I$6:$I$55,Maintenance!$J$6:$J$55),1)=0)*Maintenance!$C$6:$C$55*(1+Inputs!$B$19)^$A47))</f>
        <v>0</v>
      </c>
      <c r="I47" s="69">
        <f t="shared" si="2"/>
        <v>-2256.5690406432554</v>
      </c>
      <c r="J47" s="68">
        <f>1/(1+Inputs!$B$20)^$A47</f>
        <v>0.84645373989521056</v>
      </c>
      <c r="K47" s="6">
        <f t="shared" si="3"/>
        <v>-1910.0813037842311</v>
      </c>
      <c r="L47" s="6">
        <f>-SUM($I$6:I47)</f>
        <v>180785.22692859254</v>
      </c>
      <c r="M47" s="6">
        <f>-SUM($K$6:K47)</f>
        <v>171456.49928057383</v>
      </c>
    </row>
    <row r="48" spans="1:13" ht="18.2" customHeight="1">
      <c r="A48" s="1">
        <v>42</v>
      </c>
      <c r="B48" s="5">
        <f ca="1">EDATE(Inputs!$B$5,$A48)</f>
        <v>47392</v>
      </c>
      <c r="C48" s="66">
        <f>IF($A48=0,0,Inputs!$B$7)</f>
        <v>1200</v>
      </c>
      <c r="D48" s="6">
        <f>IF($A48=0,-Inputs!$B$4,0)</f>
        <v>0</v>
      </c>
      <c r="E48" s="6">
        <f>IF($A48=0,0,-$C48*Inputs!$B$12/100*Inputs!$B$13*(1+Inputs!$B$19)^$A48)</f>
        <v>-1275.6143336433629</v>
      </c>
      <c r="F48" s="6">
        <f>IF($A48=0,0,-Inputs!$B$10*(1+Inputs!$B$19)^$A48)</f>
        <v>-985.60286975521365</v>
      </c>
      <c r="G48" s="6">
        <f>IF(AND($A48&gt;0,MOD($A48,12)=0),-Inputs!$B$9*(1+Inputs!$B$19)^$A48,0)</f>
        <v>0</v>
      </c>
      <c r="H48" s="6">
        <f>IF($A48=0,0,-SUMPRODUCT((Maintenance!$A$6:$A$55&lt;&gt;"")*(Maintenance!$I$6:$I$55&lt;&gt;"")*($A48=Maintenance!$I$6:$I$55)*Maintenance!$C$6:$C$55*(1+Inputs!$B$19)^$A48)-SUMPRODUCT((Maintenance!$A$6:$A$55&lt;&gt;"")*(Maintenance!$J$6:$J$55&gt;0)*($A48&gt;Maintenance!$I$6:$I$55)*(IFERROR(MOD($A48-Maintenance!$I$6:$I$55,Maintenance!$J$6:$J$55),1)=0)*Maintenance!$C$6:$C$55*(1+Inputs!$B$19)^$A48))</f>
        <v>0</v>
      </c>
      <c r="I48" s="69">
        <f t="shared" si="2"/>
        <v>-2261.2172033985767</v>
      </c>
      <c r="J48" s="68">
        <f>1/(1+Inputs!$B$20)^$A48</f>
        <v>0.84301917542254989</v>
      </c>
      <c r="K48" s="6">
        <f t="shared" si="3"/>
        <v>-1906.2494622603524</v>
      </c>
      <c r="L48" s="6">
        <f>-SUM($I$6:I48)</f>
        <v>183046.44413199113</v>
      </c>
      <c r="M48" s="6">
        <f>-SUM($K$6:K48)</f>
        <v>173362.74874283417</v>
      </c>
    </row>
    <row r="49" spans="1:13" ht="18.2" customHeight="1">
      <c r="A49" s="1">
        <v>43</v>
      </c>
      <c r="B49" s="5">
        <f ca="1">EDATE(Inputs!$B$5,$A49)</f>
        <v>47423</v>
      </c>
      <c r="C49" s="66">
        <f>IF($A49=0,0,Inputs!$B$7)</f>
        <v>1200</v>
      </c>
      <c r="D49" s="6">
        <f>IF($A49=0,-Inputs!$B$4,0)</f>
        <v>0</v>
      </c>
      <c r="E49" s="6">
        <f>IF($A49=0,0,-$C49*Inputs!$B$12/100*Inputs!$B$13*(1+Inputs!$B$19)^$A49)</f>
        <v>-1278.2418903141327</v>
      </c>
      <c r="F49" s="6">
        <f>IF($A49=0,0,-Inputs!$B$10*(1+Inputs!$B$19)^$A49)</f>
        <v>-987.63305029399658</v>
      </c>
      <c r="G49" s="6">
        <f>IF(AND($A49&gt;0,MOD($A49,12)=0),-Inputs!$B$9*(1+Inputs!$B$19)^$A49,0)</f>
        <v>0</v>
      </c>
      <c r="H49" s="6">
        <f>IF($A49=0,0,-SUMPRODUCT((Maintenance!$A$6:$A$55&lt;&gt;"")*(Maintenance!$I$6:$I$55&lt;&gt;"")*($A49=Maintenance!$I$6:$I$55)*Maintenance!$C$6:$C$55*(1+Inputs!$B$19)^$A49)-SUMPRODUCT((Maintenance!$A$6:$A$55&lt;&gt;"")*(Maintenance!$J$6:$J$55&gt;0)*($A49&gt;Maintenance!$I$6:$I$55)*(IFERROR(MOD($A49-Maintenance!$I$6:$I$55,Maintenance!$J$6:$J$55),1)=0)*Maintenance!$C$6:$C$55*(1+Inputs!$B$19)^$A49))</f>
        <v>0</v>
      </c>
      <c r="I49" s="69">
        <f t="shared" si="2"/>
        <v>-2265.8749406081292</v>
      </c>
      <c r="J49" s="68">
        <f>1/(1+Inputs!$B$20)^$A49</f>
        <v>0.83959854701344583</v>
      </c>
      <c r="K49" s="6">
        <f t="shared" si="3"/>
        <v>-1902.4253078487632</v>
      </c>
      <c r="L49" s="6">
        <f>-SUM($I$6:I49)</f>
        <v>185312.31907259926</v>
      </c>
      <c r="M49" s="6">
        <f>-SUM($K$6:K49)</f>
        <v>175265.17405068292</v>
      </c>
    </row>
    <row r="50" spans="1:13" ht="18.2" customHeight="1">
      <c r="A50" s="1">
        <v>44</v>
      </c>
      <c r="B50" s="5">
        <f ca="1">EDATE(Inputs!$B$5,$A50)</f>
        <v>47453</v>
      </c>
      <c r="C50" s="66">
        <f>IF($A50=0,0,Inputs!$B$7)</f>
        <v>1200</v>
      </c>
      <c r="D50" s="6">
        <f>IF($A50=0,-Inputs!$B$4,0)</f>
        <v>0</v>
      </c>
      <c r="E50" s="6">
        <f>IF($A50=0,0,-$C50*Inputs!$B$12/100*Inputs!$B$13*(1+Inputs!$B$19)^$A50)</f>
        <v>-1280.8748593214341</v>
      </c>
      <c r="F50" s="6">
        <f>IF($A50=0,0,-Inputs!$B$10*(1+Inputs!$B$19)^$A50)</f>
        <v>-989.66741267228758</v>
      </c>
      <c r="G50" s="6">
        <f>IF(AND($A50&gt;0,MOD($A50,12)=0),-Inputs!$B$9*(1+Inputs!$B$19)^$A50,0)</f>
        <v>0</v>
      </c>
      <c r="H50" s="6">
        <f>IF($A50=0,0,-SUMPRODUCT((Maintenance!$A$6:$A$55&lt;&gt;"")*(Maintenance!$I$6:$I$55&lt;&gt;"")*($A50=Maintenance!$I$6:$I$55)*Maintenance!$C$6:$C$55*(1+Inputs!$B$19)^$A50)-SUMPRODUCT((Maintenance!$A$6:$A$55&lt;&gt;"")*(Maintenance!$J$6:$J$55&gt;0)*($A50&gt;Maintenance!$I$6:$I$55)*(IFERROR(MOD($A50-Maintenance!$I$6:$I$55,Maintenance!$J$6:$J$55),1)=0)*Maintenance!$C$6:$C$55*(1+Inputs!$B$19)^$A50))</f>
        <v>0</v>
      </c>
      <c r="I50" s="69">
        <f t="shared" si="2"/>
        <v>-2270.5422719937214</v>
      </c>
      <c r="J50" s="68">
        <f>1/(1+Inputs!$B$20)^$A50</f>
        <v>0.83619179812102928</v>
      </c>
      <c r="K50" s="6">
        <f t="shared" si="3"/>
        <v>-1898.6088251282372</v>
      </c>
      <c r="L50" s="6">
        <f>-SUM($I$6:I50)</f>
        <v>187582.861344593</v>
      </c>
      <c r="M50" s="6">
        <f>-SUM($K$6:K50)</f>
        <v>177163.78287581116</v>
      </c>
    </row>
    <row r="51" spans="1:13" ht="18.2" customHeight="1">
      <c r="A51" s="1">
        <v>45</v>
      </c>
      <c r="B51" s="5">
        <f ca="1">EDATE(Inputs!$B$5,$A51)</f>
        <v>47484</v>
      </c>
      <c r="C51" s="66">
        <f>IF($A51=0,0,Inputs!$B$7)</f>
        <v>1200</v>
      </c>
      <c r="D51" s="6">
        <f>IF($A51=0,-Inputs!$B$4,0)</f>
        <v>0</v>
      </c>
      <c r="E51" s="6">
        <f>IF($A51=0,0,-$C51*Inputs!$B$12/100*Inputs!$B$13*(1+Inputs!$B$19)^$A51)</f>
        <v>-1283.5132518137939</v>
      </c>
      <c r="F51" s="6">
        <f>IF($A51=0,0,-Inputs!$B$10*(1+Inputs!$B$19)^$A51)</f>
        <v>-991.70596550399125</v>
      </c>
      <c r="G51" s="6">
        <f>IF(AND($A51&gt;0,MOD($A51,12)=0),-Inputs!$B$9*(1+Inputs!$B$19)^$A51,0)</f>
        <v>0</v>
      </c>
      <c r="H51" s="6">
        <f>IF($A51=0,0,-SUMPRODUCT((Maintenance!$A$6:$A$55&lt;&gt;"")*(Maintenance!$I$6:$I$55&lt;&gt;"")*($A51=Maintenance!$I$6:$I$55)*Maintenance!$C$6:$C$55*(1+Inputs!$B$19)^$A51)-SUMPRODUCT((Maintenance!$A$6:$A$55&lt;&gt;"")*(Maintenance!$J$6:$J$55&gt;0)*($A51&gt;Maintenance!$I$6:$I$55)*(IFERROR(MOD($A51-Maintenance!$I$6:$I$55,Maintenance!$J$6:$J$55),1)=0)*Maintenance!$C$6:$C$55*(1+Inputs!$B$19)^$A51))</f>
        <v>0</v>
      </c>
      <c r="I51" s="69">
        <f t="shared" si="2"/>
        <v>-2275.219217317785</v>
      </c>
      <c r="J51" s="68">
        <f>1/(1+Inputs!$B$20)^$A51</f>
        <v>0.83279887242787531</v>
      </c>
      <c r="K51" s="6">
        <f t="shared" si="3"/>
        <v>-1894.7999987084843</v>
      </c>
      <c r="L51" s="6">
        <f>-SUM($I$6:I51)</f>
        <v>189858.08056191079</v>
      </c>
      <c r="M51" s="6">
        <f>-SUM($K$6:K51)</f>
        <v>179058.58287451963</v>
      </c>
    </row>
    <row r="52" spans="1:13" ht="18.2" customHeight="1">
      <c r="A52" s="1">
        <v>46</v>
      </c>
      <c r="B52" s="5">
        <f ca="1">EDATE(Inputs!$B$5,$A52)</f>
        <v>47515</v>
      </c>
      <c r="C52" s="66">
        <f>IF($A52=0,0,Inputs!$B$7)</f>
        <v>1200</v>
      </c>
      <c r="D52" s="6">
        <f>IF($A52=0,-Inputs!$B$4,0)</f>
        <v>0</v>
      </c>
      <c r="E52" s="6">
        <f>IF($A52=0,0,-$C52*Inputs!$B$12/100*Inputs!$B$13*(1+Inputs!$B$19)^$A52)</f>
        <v>-1286.157078962704</v>
      </c>
      <c r="F52" s="6">
        <f>IF($A52=0,0,-Inputs!$B$10*(1+Inputs!$B$19)^$A52)</f>
        <v>-993.74871742075584</v>
      </c>
      <c r="G52" s="6">
        <f>IF(AND($A52&gt;0,MOD($A52,12)=0),-Inputs!$B$9*(1+Inputs!$B$19)^$A52,0)</f>
        <v>0</v>
      </c>
      <c r="H52" s="6">
        <f>IF($A52=0,0,-SUMPRODUCT((Maintenance!$A$6:$A$55&lt;&gt;"")*(Maintenance!$I$6:$I$55&lt;&gt;"")*($A52=Maintenance!$I$6:$I$55)*Maintenance!$C$6:$C$55*(1+Inputs!$B$19)^$A52)-SUMPRODUCT((Maintenance!$A$6:$A$55&lt;&gt;"")*(Maintenance!$J$6:$J$55&gt;0)*($A52&gt;Maintenance!$I$6:$I$55)*(IFERROR(MOD($A52-Maintenance!$I$6:$I$55,Maintenance!$J$6:$J$55),1)=0)*Maintenance!$C$6:$C$55*(1+Inputs!$B$19)^$A52))</f>
        <v>0</v>
      </c>
      <c r="I52" s="69">
        <f t="shared" si="2"/>
        <v>-2279.9057963834598</v>
      </c>
      <c r="J52" s="68">
        <f>1/(1+Inputs!$B$20)^$A52</f>
        <v>0.82941971384507229</v>
      </c>
      <c r="K52" s="6">
        <f t="shared" si="3"/>
        <v>-1890.9988132300909</v>
      </c>
      <c r="L52" s="6">
        <f>-SUM($I$6:I52)</f>
        <v>192137.98635829423</v>
      </c>
      <c r="M52" s="6">
        <f>-SUM($K$6:K52)</f>
        <v>180949.58168774971</v>
      </c>
    </row>
    <row r="53" spans="1:13" ht="18.2" customHeight="1">
      <c r="A53" s="1">
        <v>47</v>
      </c>
      <c r="B53" s="5">
        <f ca="1">EDATE(Inputs!$B$5,$A53)</f>
        <v>47543</v>
      </c>
      <c r="C53" s="66">
        <f>IF($A53=0,0,Inputs!$B$7)</f>
        <v>1200</v>
      </c>
      <c r="D53" s="6">
        <f>IF($A53=0,-Inputs!$B$4,0)</f>
        <v>0</v>
      </c>
      <c r="E53" s="6">
        <f>IF($A53=0,0,-$C53*Inputs!$B$12/100*Inputs!$B$13*(1+Inputs!$B$19)^$A53)</f>
        <v>-1288.8063519626662</v>
      </c>
      <c r="F53" s="6">
        <f>IF($A53=0,0,-Inputs!$B$10*(1+Inputs!$B$19)^$A53)</f>
        <v>-995.79567707200886</v>
      </c>
      <c r="G53" s="6">
        <f>IF(AND($A53&gt;0,MOD($A53,12)=0),-Inputs!$B$9*(1+Inputs!$B$19)^$A53,0)</f>
        <v>0</v>
      </c>
      <c r="H53" s="6">
        <f>IF($A53=0,0,-SUMPRODUCT((Maintenance!$A$6:$A$55&lt;&gt;"")*(Maintenance!$I$6:$I$55&lt;&gt;"")*($A53=Maintenance!$I$6:$I$55)*Maintenance!$C$6:$C$55*(1+Inputs!$B$19)^$A53)-SUMPRODUCT((Maintenance!$A$6:$A$55&lt;&gt;"")*(Maintenance!$J$6:$J$55&gt;0)*($A53&gt;Maintenance!$I$6:$I$55)*(IFERROR(MOD($A53-Maintenance!$I$6:$I$55,Maintenance!$J$6:$J$55),1)=0)*Maintenance!$C$6:$C$55*(1+Inputs!$B$19)^$A53))</f>
        <v>0</v>
      </c>
      <c r="I53" s="69">
        <f t="shared" si="2"/>
        <v>-2284.6020290346751</v>
      </c>
      <c r="J53" s="68">
        <f>1/(1+Inputs!$B$20)^$A53</f>
        <v>0.82605426651129432</v>
      </c>
      <c r="K53" s="6">
        <f t="shared" si="3"/>
        <v>-1887.2052533644533</v>
      </c>
      <c r="L53" s="6">
        <f>-SUM($I$6:I53)</f>
        <v>194422.5883873289</v>
      </c>
      <c r="M53" s="6">
        <f>-SUM($K$6:K53)</f>
        <v>182836.78694111417</v>
      </c>
    </row>
    <row r="54" spans="1:13" ht="18.2" customHeight="1">
      <c r="A54" s="1">
        <v>48</v>
      </c>
      <c r="B54" s="5">
        <f ca="1">EDATE(Inputs!$B$5,$A54)</f>
        <v>47574</v>
      </c>
      <c r="C54" s="66">
        <f>IF($A54=0,0,Inputs!$B$7)</f>
        <v>1200</v>
      </c>
      <c r="D54" s="6">
        <f>IF($A54=0,-Inputs!$B$4,0)</f>
        <v>0</v>
      </c>
      <c r="E54" s="6">
        <f>IF($A54=0,0,-$C54*Inputs!$B$12/100*Inputs!$B$13*(1+Inputs!$B$19)^$A54)</f>
        <v>-1291.4610820312428</v>
      </c>
      <c r="F54" s="6">
        <f>IF($A54=0,0,-Inputs!$B$10*(1+Inputs!$B$19)^$A54)</f>
        <v>-997.84685312499437</v>
      </c>
      <c r="G54" s="6">
        <f>IF(AND($A54&gt;0,MOD($A54,12)=0),-Inputs!$B$9*(1+Inputs!$B$19)^$A54,0)</f>
        <v>-1379.7661132812423</v>
      </c>
      <c r="H54" s="6">
        <f>IF($A54=0,0,-SUMPRODUCT((Maintenance!$A$6:$A$55&lt;&gt;"")*(Maintenance!$I$6:$I$55&lt;&gt;"")*($A54=Maintenance!$I$6:$I$55)*Maintenance!$C$6:$C$55*(1+Inputs!$B$19)^$A54)-SUMPRODUCT((Maintenance!$A$6:$A$55&lt;&gt;"")*(Maintenance!$J$6:$J$55&gt;0)*($A54&gt;Maintenance!$I$6:$I$55)*(IFERROR(MOD($A54-Maintenance!$I$6:$I$55,Maintenance!$J$6:$J$55),1)=0)*Maintenance!$C$6:$C$55*(1+Inputs!$B$19)^$A54))</f>
        <v>-7726.6902343749562</v>
      </c>
      <c r="I54" s="69">
        <f t="shared" si="2"/>
        <v>-11395.764282812435</v>
      </c>
      <c r="J54" s="68">
        <f>1/(1+Inputs!$B$20)^$A54</f>
        <v>0.82270247479187819</v>
      </c>
      <c r="K54" s="6">
        <f t="shared" si="3"/>
        <v>-9375.3234776146837</v>
      </c>
      <c r="L54" s="6">
        <f>-SUM($I$6:I54)</f>
        <v>205818.35267014132</v>
      </c>
      <c r="M54" s="6">
        <f>-SUM($K$6:K54)</f>
        <v>192212.11041872884</v>
      </c>
    </row>
    <row r="55" spans="1:13" ht="18.2" customHeight="1">
      <c r="A55" s="1">
        <v>49</v>
      </c>
      <c r="B55" s="5">
        <f ca="1">EDATE(Inputs!$B$5,$A55)</f>
        <v>47604</v>
      </c>
      <c r="C55" s="66">
        <f>IF($A55=0,0,Inputs!$B$7)</f>
        <v>1200</v>
      </c>
      <c r="D55" s="6">
        <f>IF($A55=0,-Inputs!$B$4,0)</f>
        <v>0</v>
      </c>
      <c r="E55" s="6">
        <f>IF($A55=0,0,-$C55*Inputs!$B$12/100*Inputs!$B$13*(1+Inputs!$B$19)^$A55)</f>
        <v>-1294.121280409101</v>
      </c>
      <c r="F55" s="6">
        <f>IF($A55=0,0,-Inputs!$B$10*(1+Inputs!$B$19)^$A55)</f>
        <v>-999.9022542648097</v>
      </c>
      <c r="G55" s="6">
        <f>IF(AND($A55&gt;0,MOD($A55,12)=0),-Inputs!$B$9*(1+Inputs!$B$19)^$A55,0)</f>
        <v>0</v>
      </c>
      <c r="H55" s="6">
        <f>IF($A55=0,0,-SUMPRODUCT((Maintenance!$A$6:$A$55&lt;&gt;"")*(Maintenance!$I$6:$I$55&lt;&gt;"")*($A55=Maintenance!$I$6:$I$55)*Maintenance!$C$6:$C$55*(1+Inputs!$B$19)^$A55)-SUMPRODUCT((Maintenance!$A$6:$A$55&lt;&gt;"")*(Maintenance!$J$6:$J$55&gt;0)*($A55&gt;Maintenance!$I$6:$I$55)*(IFERROR(MOD($A55-Maintenance!$I$6:$I$55,Maintenance!$J$6:$J$55),1)=0)*Maintenance!$C$6:$C$55*(1+Inputs!$B$19)^$A55))</f>
        <v>0</v>
      </c>
      <c r="I55" s="69">
        <f t="shared" si="2"/>
        <v>-2294.0235346739109</v>
      </c>
      <c r="J55" s="68">
        <f>1/(1+Inputs!$B$20)^$A55</f>
        <v>0.81936428327790389</v>
      </c>
      <c r="K55" s="6">
        <f t="shared" si="3"/>
        <v>-1879.6409493107328</v>
      </c>
      <c r="L55" s="6">
        <f>-SUM($I$6:I55)</f>
        <v>208112.37620481523</v>
      </c>
      <c r="M55" s="6">
        <f>-SUM($K$6:K55)</f>
        <v>194091.75136803958</v>
      </c>
    </row>
    <row r="56" spans="1:13" ht="18.2" customHeight="1">
      <c r="A56" s="1">
        <v>50</v>
      </c>
      <c r="B56" s="5">
        <f ca="1">EDATE(Inputs!$B$5,$A56)</f>
        <v>47635</v>
      </c>
      <c r="C56" s="66">
        <f>IF($A56=0,0,Inputs!$B$7)</f>
        <v>1200</v>
      </c>
      <c r="D56" s="6">
        <f>IF($A56=0,-Inputs!$B$4,0)</f>
        <v>0</v>
      </c>
      <c r="E56" s="6">
        <f>IF($A56=0,0,-$C56*Inputs!$B$12/100*Inputs!$B$13*(1+Inputs!$B$19)^$A56)</f>
        <v>-1296.786958360063</v>
      </c>
      <c r="F56" s="6">
        <f>IF($A56=0,0,-Inputs!$B$10*(1+Inputs!$B$19)^$A56)</f>
        <v>-1001.9618891944419</v>
      </c>
      <c r="G56" s="6">
        <f>IF(AND($A56&gt;0,MOD($A56,12)=0),-Inputs!$B$9*(1+Inputs!$B$19)^$A56,0)</f>
        <v>0</v>
      </c>
      <c r="H56" s="6">
        <f>IF($A56=0,0,-SUMPRODUCT((Maintenance!$A$6:$A$55&lt;&gt;"")*(Maintenance!$I$6:$I$55&lt;&gt;"")*($A56=Maintenance!$I$6:$I$55)*Maintenance!$C$6:$C$55*(1+Inputs!$B$19)^$A56)-SUMPRODUCT((Maintenance!$A$6:$A$55&lt;&gt;"")*(Maintenance!$J$6:$J$55&gt;0)*($A56&gt;Maintenance!$I$6:$I$55)*(IFERROR(MOD($A56-Maintenance!$I$6:$I$55,Maintenance!$J$6:$J$55),1)=0)*Maintenance!$C$6:$C$55*(1+Inputs!$B$19)^$A56))</f>
        <v>0</v>
      </c>
      <c r="I56" s="69">
        <f t="shared" si="2"/>
        <v>-2298.7488475545051</v>
      </c>
      <c r="J56" s="68">
        <f>1/(1+Inputs!$B$20)^$A56</f>
        <v>0.81603963678527702</v>
      </c>
      <c r="K56" s="6">
        <f t="shared" si="3"/>
        <v>-1875.8701746189524</v>
      </c>
      <c r="L56" s="6">
        <f>-SUM($I$6:I56)</f>
        <v>210411.12505236972</v>
      </c>
      <c r="M56" s="6">
        <f>-SUM($K$6:K56)</f>
        <v>195967.62154265854</v>
      </c>
    </row>
    <row r="57" spans="1:13" ht="18.2" customHeight="1">
      <c r="A57" s="1">
        <v>51</v>
      </c>
      <c r="B57" s="5">
        <f ca="1">EDATE(Inputs!$B$5,$A57)</f>
        <v>47665</v>
      </c>
      <c r="C57" s="66">
        <f>IF($A57=0,0,Inputs!$B$7)</f>
        <v>1200</v>
      </c>
      <c r="D57" s="6">
        <f>IF($A57=0,-Inputs!$B$4,0)</f>
        <v>0</v>
      </c>
      <c r="E57" s="6">
        <f>IF($A57=0,0,-$C57*Inputs!$B$12/100*Inputs!$B$13*(1+Inputs!$B$19)^$A57)</f>
        <v>-1299.458127171152</v>
      </c>
      <c r="F57" s="6">
        <f>IF($A57=0,0,-Inputs!$B$10*(1+Inputs!$B$19)^$A57)</f>
        <v>-1004.0257666348045</v>
      </c>
      <c r="G57" s="6">
        <f>IF(AND($A57&gt;0,MOD($A57,12)=0),-Inputs!$B$9*(1+Inputs!$B$19)^$A57,0)</f>
        <v>0</v>
      </c>
      <c r="H57" s="6">
        <f>IF($A57=0,0,-SUMPRODUCT((Maintenance!$A$6:$A$55&lt;&gt;"")*(Maintenance!$I$6:$I$55&lt;&gt;"")*($A57=Maintenance!$I$6:$I$55)*Maintenance!$C$6:$C$55*(1+Inputs!$B$19)^$A57)-SUMPRODUCT((Maintenance!$A$6:$A$55&lt;&gt;"")*(Maintenance!$J$6:$J$55&gt;0)*($A57&gt;Maintenance!$I$6:$I$55)*(IFERROR(MOD($A57-Maintenance!$I$6:$I$55,Maintenance!$J$6:$J$55),1)=0)*Maintenance!$C$6:$C$55*(1+Inputs!$B$19)^$A57))</f>
        <v>0</v>
      </c>
      <c r="I57" s="69">
        <f t="shared" si="2"/>
        <v>-2303.4838938059565</v>
      </c>
      <c r="J57" s="68">
        <f>1/(1+Inputs!$B$20)^$A57</f>
        <v>0.81272848035381917</v>
      </c>
      <c r="K57" s="6">
        <f t="shared" si="3"/>
        <v>-1872.1069645324133</v>
      </c>
      <c r="L57" s="6">
        <f>-SUM($I$6:I57)</f>
        <v>212714.60894617569</v>
      </c>
      <c r="M57" s="6">
        <f>-SUM($K$6:K57)</f>
        <v>197839.72850719094</v>
      </c>
    </row>
    <row r="58" spans="1:13" ht="18.2" customHeight="1">
      <c r="A58" s="1">
        <v>52</v>
      </c>
      <c r="B58" s="5">
        <f ca="1">EDATE(Inputs!$B$5,$A58)</f>
        <v>47696</v>
      </c>
      <c r="C58" s="66">
        <f>IF($A58=0,0,Inputs!$B$7)</f>
        <v>1200</v>
      </c>
      <c r="D58" s="6">
        <f>IF($A58=0,-Inputs!$B$4,0)</f>
        <v>0</v>
      </c>
      <c r="E58" s="6">
        <f>IF($A58=0,0,-$C58*Inputs!$B$12/100*Inputs!$B$13*(1+Inputs!$B$19)^$A58)</f>
        <v>-1302.1347981526415</v>
      </c>
      <c r="F58" s="6">
        <f>IF($A58=0,0,-Inputs!$B$10*(1+Inputs!$B$19)^$A58)</f>
        <v>-1006.0938953247759</v>
      </c>
      <c r="G58" s="6">
        <f>IF(AND($A58&gt;0,MOD($A58,12)=0),-Inputs!$B$9*(1+Inputs!$B$19)^$A58,0)</f>
        <v>0</v>
      </c>
      <c r="H58" s="6">
        <f>IF($A58=0,0,-SUMPRODUCT((Maintenance!$A$6:$A$55&lt;&gt;"")*(Maintenance!$I$6:$I$55&lt;&gt;"")*($A58=Maintenance!$I$6:$I$55)*Maintenance!$C$6:$C$55*(1+Inputs!$B$19)^$A58)-SUMPRODUCT((Maintenance!$A$6:$A$55&lt;&gt;"")*(Maintenance!$J$6:$J$55&gt;0)*($A58&gt;Maintenance!$I$6:$I$55)*(IFERROR(MOD($A58-Maintenance!$I$6:$I$55,Maintenance!$J$6:$J$55),1)=0)*Maintenance!$C$6:$C$55*(1+Inputs!$B$19)^$A58))</f>
        <v>0</v>
      </c>
      <c r="I58" s="69">
        <f t="shared" si="2"/>
        <v>-2308.2286934774174</v>
      </c>
      <c r="J58" s="68">
        <f>1/(1+Inputs!$B$20)^$A58</f>
        <v>0.80943075924635699</v>
      </c>
      <c r="K58" s="6">
        <f t="shared" si="3"/>
        <v>-1868.3513038756525</v>
      </c>
      <c r="L58" s="6">
        <f>-SUM($I$6:I58)</f>
        <v>215022.83763965312</v>
      </c>
      <c r="M58" s="6">
        <f>-SUM($K$6:K58)</f>
        <v>199708.07981106659</v>
      </c>
    </row>
    <row r="59" spans="1:13" ht="18.2" customHeight="1">
      <c r="A59" s="1">
        <v>53</v>
      </c>
      <c r="B59" s="5">
        <f ca="1">EDATE(Inputs!$B$5,$A59)</f>
        <v>47727</v>
      </c>
      <c r="C59" s="66">
        <f>IF($A59=0,0,Inputs!$B$7)</f>
        <v>1200</v>
      </c>
      <c r="D59" s="6">
        <f>IF($A59=0,-Inputs!$B$4,0)</f>
        <v>0</v>
      </c>
      <c r="E59" s="6">
        <f>IF($A59=0,0,-$C59*Inputs!$B$12/100*Inputs!$B$13*(1+Inputs!$B$19)^$A59)</f>
        <v>-1304.8169826381002</v>
      </c>
      <c r="F59" s="6">
        <f>IF($A59=0,0,-Inputs!$B$10*(1+Inputs!$B$19)^$A59)</f>
        <v>-1008.166284021233</v>
      </c>
      <c r="G59" s="6">
        <f>IF(AND($A59&gt;0,MOD($A59,12)=0),-Inputs!$B$9*(1+Inputs!$B$19)^$A59,0)</f>
        <v>0</v>
      </c>
      <c r="H59" s="6">
        <f>IF($A59=0,0,-SUMPRODUCT((Maintenance!$A$6:$A$55&lt;&gt;"")*(Maintenance!$I$6:$I$55&lt;&gt;"")*($A59=Maintenance!$I$6:$I$55)*Maintenance!$C$6:$C$55*(1+Inputs!$B$19)^$A59)-SUMPRODUCT((Maintenance!$A$6:$A$55&lt;&gt;"")*(Maintenance!$J$6:$J$55&gt;0)*($A59&gt;Maintenance!$I$6:$I$55)*(IFERROR(MOD($A59-Maintenance!$I$6:$I$55,Maintenance!$J$6:$J$55),1)=0)*Maintenance!$C$6:$C$55*(1+Inputs!$B$19)^$A59))</f>
        <v>0</v>
      </c>
      <c r="I59" s="69">
        <f t="shared" si="2"/>
        <v>-2312.9832666593329</v>
      </c>
      <c r="J59" s="68">
        <f>1/(1+Inputs!$B$20)^$A59</f>
        <v>0.8061464189478188</v>
      </c>
      <c r="K59" s="6">
        <f t="shared" si="3"/>
        <v>-1864.603177503649</v>
      </c>
      <c r="L59" s="6">
        <f>-SUM($I$6:I59)</f>
        <v>217335.82090631247</v>
      </c>
      <c r="M59" s="6">
        <f>-SUM($K$6:K59)</f>
        <v>201572.68298857025</v>
      </c>
    </row>
    <row r="60" spans="1:13" ht="18.2" customHeight="1">
      <c r="A60" s="1">
        <v>54</v>
      </c>
      <c r="B60" s="5">
        <f ca="1">EDATE(Inputs!$B$5,$A60)</f>
        <v>47757</v>
      </c>
      <c r="C60" s="66">
        <f>IF($A60=0,0,Inputs!$B$7)</f>
        <v>1200</v>
      </c>
      <c r="D60" s="6">
        <f>IF($A60=0,-Inputs!$B$4,0)</f>
        <v>0</v>
      </c>
      <c r="E60" s="6">
        <f>IF($A60=0,0,-$C60*Inputs!$B$12/100*Inputs!$B$13*(1+Inputs!$B$19)^$A60)</f>
        <v>-1307.5046919844449</v>
      </c>
      <c r="F60" s="6">
        <f>IF($A60=0,0,-Inputs!$B$10*(1+Inputs!$B$19)^$A60)</f>
        <v>-1010.2429414990926</v>
      </c>
      <c r="G60" s="6">
        <f>IF(AND($A60&gt;0,MOD($A60,12)=0),-Inputs!$B$9*(1+Inputs!$B$19)^$A60,0)</f>
        <v>0</v>
      </c>
      <c r="H60" s="6">
        <f>IF($A60=0,0,-SUMPRODUCT((Maintenance!$A$6:$A$55&lt;&gt;"")*(Maintenance!$I$6:$I$55&lt;&gt;"")*($A60=Maintenance!$I$6:$I$55)*Maintenance!$C$6:$C$55*(1+Inputs!$B$19)^$A60)-SUMPRODUCT((Maintenance!$A$6:$A$55&lt;&gt;"")*(Maintenance!$J$6:$J$55&gt;0)*($A60&gt;Maintenance!$I$6:$I$55)*(IFERROR(MOD($A60-Maintenance!$I$6:$I$55,Maintenance!$J$6:$J$55),1)=0)*Maintenance!$C$6:$C$55*(1+Inputs!$B$19)^$A60))</f>
        <v>0</v>
      </c>
      <c r="I60" s="69">
        <f t="shared" si="2"/>
        <v>-2317.7476334835374</v>
      </c>
      <c r="J60" s="68">
        <f>1/(1+Inputs!$B$20)^$A60</f>
        <v>0.80287540516433242</v>
      </c>
      <c r="K60" s="6">
        <f t="shared" si="3"/>
        <v>-1860.8625703017676</v>
      </c>
      <c r="L60" s="6">
        <f>-SUM($I$6:I60)</f>
        <v>219653.56853979599</v>
      </c>
      <c r="M60" s="6">
        <f>-SUM($K$6:K60)</f>
        <v>203433.54555887202</v>
      </c>
    </row>
    <row r="61" spans="1:13" ht="18.2" customHeight="1">
      <c r="A61" s="1">
        <v>55</v>
      </c>
      <c r="B61" s="5">
        <f ca="1">EDATE(Inputs!$B$5,$A61)</f>
        <v>47788</v>
      </c>
      <c r="C61" s="66">
        <f>IF($A61=0,0,Inputs!$B$7)</f>
        <v>1200</v>
      </c>
      <c r="D61" s="6">
        <f>IF($A61=0,-Inputs!$B$4,0)</f>
        <v>0</v>
      </c>
      <c r="E61" s="6">
        <f>IF($A61=0,0,-$C61*Inputs!$B$12/100*Inputs!$B$13*(1+Inputs!$B$19)^$A61)</f>
        <v>-1310.1979375719843</v>
      </c>
      <c r="F61" s="6">
        <f>IF($A61=0,0,-Inputs!$B$10*(1+Inputs!$B$19)^$A61)</f>
        <v>-1012.3238765513451</v>
      </c>
      <c r="G61" s="6">
        <f>IF(AND($A61&gt;0,MOD($A61,12)=0),-Inputs!$B$9*(1+Inputs!$B$19)^$A61,0)</f>
        <v>0</v>
      </c>
      <c r="H61" s="6">
        <f>IF($A61=0,0,-SUMPRODUCT((Maintenance!$A$6:$A$55&lt;&gt;"")*(Maintenance!$I$6:$I$55&lt;&gt;"")*($A61=Maintenance!$I$6:$I$55)*Maintenance!$C$6:$C$55*(1+Inputs!$B$19)^$A61)-SUMPRODUCT((Maintenance!$A$6:$A$55&lt;&gt;"")*(Maintenance!$J$6:$J$55&gt;0)*($A61&gt;Maintenance!$I$6:$I$55)*(IFERROR(MOD($A61-Maintenance!$I$6:$I$55,Maintenance!$J$6:$J$55),1)=0)*Maintenance!$C$6:$C$55*(1+Inputs!$B$19)^$A61))</f>
        <v>0</v>
      </c>
      <c r="I61" s="69">
        <f t="shared" si="2"/>
        <v>-2322.5218141233295</v>
      </c>
      <c r="J61" s="68">
        <f>1/(1+Inputs!$B$20)^$A61</f>
        <v>0.79961766382232857</v>
      </c>
      <c r="K61" s="6">
        <f t="shared" si="3"/>
        <v>-1857.1294671856931</v>
      </c>
      <c r="L61" s="6">
        <f>-SUM($I$6:I61)</f>
        <v>221976.09035391931</v>
      </c>
      <c r="M61" s="6">
        <f>-SUM($K$6:K61)</f>
        <v>205290.67502605772</v>
      </c>
    </row>
    <row r="62" spans="1:13" ht="18.2" customHeight="1">
      <c r="A62" s="1">
        <v>56</v>
      </c>
      <c r="B62" s="5">
        <f ca="1">EDATE(Inputs!$B$5,$A62)</f>
        <v>47818</v>
      </c>
      <c r="C62" s="66">
        <f>IF($A62=0,0,Inputs!$B$7)</f>
        <v>1200</v>
      </c>
      <c r="D62" s="6">
        <f>IF($A62=0,-Inputs!$B$4,0)</f>
        <v>0</v>
      </c>
      <c r="E62" s="6">
        <f>IF($A62=0,0,-$C62*Inputs!$B$12/100*Inputs!$B$13*(1+Inputs!$B$19)^$A62)</f>
        <v>-1312.8967308044682</v>
      </c>
      <c r="F62" s="6">
        <f>IF($A62=0,0,-Inputs!$B$10*(1+Inputs!$B$19)^$A62)</f>
        <v>-1014.4090979890933</v>
      </c>
      <c r="G62" s="6">
        <f>IF(AND($A62&gt;0,MOD($A62,12)=0),-Inputs!$B$9*(1+Inputs!$B$19)^$A62,0)</f>
        <v>0</v>
      </c>
      <c r="H62" s="6">
        <f>IF($A62=0,0,-SUMPRODUCT((Maintenance!$A$6:$A$55&lt;&gt;"")*(Maintenance!$I$6:$I$55&lt;&gt;"")*($A62=Maintenance!$I$6:$I$55)*Maintenance!$C$6:$C$55*(1+Inputs!$B$19)^$A62)-SUMPRODUCT((Maintenance!$A$6:$A$55&lt;&gt;"")*(Maintenance!$J$6:$J$55&gt;0)*($A62&gt;Maintenance!$I$6:$I$55)*(IFERROR(MOD($A62-Maintenance!$I$6:$I$55,Maintenance!$J$6:$J$55),1)=0)*Maintenance!$C$6:$C$55*(1+Inputs!$B$19)^$A62))</f>
        <v>0</v>
      </c>
      <c r="I62" s="69">
        <f t="shared" si="2"/>
        <v>-2327.3058287935614</v>
      </c>
      <c r="J62" s="68">
        <f>1/(1+Inputs!$B$20)^$A62</f>
        <v>0.7963731410676459</v>
      </c>
      <c r="K62" s="6">
        <f t="shared" si="3"/>
        <v>-1853.4038531013694</v>
      </c>
      <c r="L62" s="6">
        <f>-SUM($I$6:I62)</f>
        <v>224303.39618271287</v>
      </c>
      <c r="M62" s="6">
        <f>-SUM($K$6:K62)</f>
        <v>207144.07887915909</v>
      </c>
    </row>
    <row r="63" spans="1:13" ht="18.2" customHeight="1">
      <c r="A63" s="1">
        <v>57</v>
      </c>
      <c r="B63" s="5">
        <f ca="1">EDATE(Inputs!$B$5,$A63)</f>
        <v>47849</v>
      </c>
      <c r="C63" s="66">
        <f>IF($A63=0,0,Inputs!$B$7)</f>
        <v>1200</v>
      </c>
      <c r="D63" s="6">
        <f>IF($A63=0,-Inputs!$B$4,0)</f>
        <v>0</v>
      </c>
      <c r="E63" s="6">
        <f>IF($A63=0,0,-$C63*Inputs!$B$12/100*Inputs!$B$13*(1+Inputs!$B$19)^$A63)</f>
        <v>-1315.6010831091373</v>
      </c>
      <c r="F63" s="6">
        <f>IF($A63=0,0,-Inputs!$B$10*(1+Inputs!$B$19)^$A63)</f>
        <v>-1016.4986146415898</v>
      </c>
      <c r="G63" s="6">
        <f>IF(AND($A63&gt;0,MOD($A63,12)=0),-Inputs!$B$9*(1+Inputs!$B$19)^$A63,0)</f>
        <v>0</v>
      </c>
      <c r="H63" s="6">
        <f>IF($A63=0,0,-SUMPRODUCT((Maintenance!$A$6:$A$55&lt;&gt;"")*(Maintenance!$I$6:$I$55&lt;&gt;"")*($A63=Maintenance!$I$6:$I$55)*Maintenance!$C$6:$C$55*(1+Inputs!$B$19)^$A63)-SUMPRODUCT((Maintenance!$A$6:$A$55&lt;&gt;"")*(Maintenance!$J$6:$J$55&gt;0)*($A63&gt;Maintenance!$I$6:$I$55)*(IFERROR(MOD($A63-Maintenance!$I$6:$I$55,Maintenance!$J$6:$J$55),1)=0)*Maintenance!$C$6:$C$55*(1+Inputs!$B$19)^$A63))</f>
        <v>0</v>
      </c>
      <c r="I63" s="69">
        <f t="shared" si="2"/>
        <v>-2332.099697750727</v>
      </c>
      <c r="J63" s="68">
        <f>1/(1+Inputs!$B$20)^$A63</f>
        <v>0.79314178326464213</v>
      </c>
      <c r="K63" s="6">
        <f t="shared" si="3"/>
        <v>-1849.6857130249446</v>
      </c>
      <c r="L63" s="6">
        <f>-SUM($I$6:I63)</f>
        <v>226635.4958804636</v>
      </c>
      <c r="M63" s="6">
        <f>-SUM($K$6:K63)</f>
        <v>208993.76459218404</v>
      </c>
    </row>
    <row r="64" spans="1:13" ht="18.2" customHeight="1">
      <c r="A64" s="1">
        <v>58</v>
      </c>
      <c r="B64" s="5">
        <f ca="1">EDATE(Inputs!$B$5,$A64)</f>
        <v>47880</v>
      </c>
      <c r="C64" s="66">
        <f>IF($A64=0,0,Inputs!$B$7)</f>
        <v>1200</v>
      </c>
      <c r="D64" s="6">
        <f>IF($A64=0,-Inputs!$B$4,0)</f>
        <v>0</v>
      </c>
      <c r="E64" s="6">
        <f>IF($A64=0,0,-$C64*Inputs!$B$12/100*Inputs!$B$13*(1+Inputs!$B$19)^$A64)</f>
        <v>-1318.3110059367696</v>
      </c>
      <c r="F64" s="6">
        <f>IF($A64=0,0,-Inputs!$B$10*(1+Inputs!$B$19)^$A64)</f>
        <v>-1018.5924353562733</v>
      </c>
      <c r="G64" s="6">
        <f>IF(AND($A64&gt;0,MOD($A64,12)=0),-Inputs!$B$9*(1+Inputs!$B$19)^$A64,0)</f>
        <v>0</v>
      </c>
      <c r="H64" s="6">
        <f>IF($A64=0,0,-SUMPRODUCT((Maintenance!$A$6:$A$55&lt;&gt;"")*(Maintenance!$I$6:$I$55&lt;&gt;"")*($A64=Maintenance!$I$6:$I$55)*Maintenance!$C$6:$C$55*(1+Inputs!$B$19)^$A64)-SUMPRODUCT((Maintenance!$A$6:$A$55&lt;&gt;"")*(Maintenance!$J$6:$J$55&gt;0)*($A64&gt;Maintenance!$I$6:$I$55)*(IFERROR(MOD($A64-Maintenance!$I$6:$I$55,Maintenance!$J$6:$J$55),1)=0)*Maintenance!$C$6:$C$55*(1+Inputs!$B$19)^$A64))</f>
        <v>0</v>
      </c>
      <c r="I64" s="69">
        <f t="shared" si="2"/>
        <v>-2336.9034412930428</v>
      </c>
      <c r="J64" s="68">
        <f>1/(1+Inputs!$B$20)^$A64</f>
        <v>0.78992353699530604</v>
      </c>
      <c r="K64" s="6">
        <f t="shared" si="3"/>
        <v>-1845.9750319627028</v>
      </c>
      <c r="L64" s="6">
        <f>-SUM($I$6:I64)</f>
        <v>228972.39932175665</v>
      </c>
      <c r="M64" s="6">
        <f>-SUM($K$6:K64)</f>
        <v>210839.73962414675</v>
      </c>
    </row>
    <row r="65" spans="1:13" ht="18.2" customHeight="1">
      <c r="A65" s="1">
        <v>59</v>
      </c>
      <c r="B65" s="5">
        <f ca="1">EDATE(Inputs!$B$5,$A65)</f>
        <v>47908</v>
      </c>
      <c r="C65" s="66">
        <f>IF($A65=0,0,Inputs!$B$7)</f>
        <v>1200</v>
      </c>
      <c r="D65" s="6">
        <f>IF($A65=0,-Inputs!$B$4,0)</f>
        <v>0</v>
      </c>
      <c r="E65" s="6">
        <f>IF($A65=0,0,-$C65*Inputs!$B$12/100*Inputs!$B$13*(1+Inputs!$B$19)^$A65)</f>
        <v>-1321.0265107617311</v>
      </c>
      <c r="F65" s="6">
        <f>IF($A65=0,0,-Inputs!$B$10*(1+Inputs!$B$19)^$A65)</f>
        <v>-1020.6905689988076</v>
      </c>
      <c r="G65" s="6">
        <f>IF(AND($A65&gt;0,MOD($A65,12)=0),-Inputs!$B$9*(1+Inputs!$B$19)^$A65,0)</f>
        <v>0</v>
      </c>
      <c r="H65" s="6">
        <f>IF($A65=0,0,-SUMPRODUCT((Maintenance!$A$6:$A$55&lt;&gt;"")*(Maintenance!$I$6:$I$55&lt;&gt;"")*($A65=Maintenance!$I$6:$I$55)*Maintenance!$C$6:$C$55*(1+Inputs!$B$19)^$A65)-SUMPRODUCT((Maintenance!$A$6:$A$55&lt;&gt;"")*(Maintenance!$J$6:$J$55&gt;0)*($A65&gt;Maintenance!$I$6:$I$55)*(IFERROR(MOD($A65-Maintenance!$I$6:$I$55,Maintenance!$J$6:$J$55),1)=0)*Maintenance!$C$6:$C$55*(1+Inputs!$B$19)^$A65))</f>
        <v>0</v>
      </c>
      <c r="I65" s="69">
        <f t="shared" si="2"/>
        <v>-2341.7170797605386</v>
      </c>
      <c r="J65" s="68">
        <f>1/(1+Inputs!$B$20)^$A65</f>
        <v>0.78671834905837468</v>
      </c>
      <c r="K65" s="6">
        <f t="shared" si="3"/>
        <v>-1842.2717949510093</v>
      </c>
      <c r="L65" s="6">
        <f>-SUM($I$6:I65)</f>
        <v>231314.11640151718</v>
      </c>
      <c r="M65" s="6">
        <f>-SUM($K$6:K65)</f>
        <v>212682.01141909775</v>
      </c>
    </row>
    <row r="66" spans="1:13" ht="18.2" customHeight="1">
      <c r="A66" s="1">
        <v>60</v>
      </c>
      <c r="B66" s="5">
        <f ca="1">EDATE(Inputs!$B$5,$A66)</f>
        <v>47939</v>
      </c>
      <c r="C66" s="66">
        <f>IF($A66=0,0,Inputs!$B$7)</f>
        <v>1200</v>
      </c>
      <c r="D66" s="6">
        <f>IF($A66=0,-Inputs!$B$4,0)</f>
        <v>0</v>
      </c>
      <c r="E66" s="6">
        <f>IF($A66=0,0,-$C66*Inputs!$B$12/100*Inputs!$B$13*(1+Inputs!$B$19)^$A66)</f>
        <v>-1323.7476090820221</v>
      </c>
      <c r="F66" s="6">
        <f>IF($A66=0,0,-Inputs!$B$10*(1+Inputs!$B$19)^$A66)</f>
        <v>-1022.7930244531178</v>
      </c>
      <c r="G66" s="6">
        <f>IF(AND($A66&gt;0,MOD($A66,12)=0),-Inputs!$B$9*(1+Inputs!$B$19)^$A66,0)</f>
        <v>-1414.2602661132714</v>
      </c>
      <c r="H66" s="6">
        <f>IF($A66=0,0,-SUMPRODUCT((Maintenance!$A$6:$A$55&lt;&gt;"")*(Maintenance!$I$6:$I$55&lt;&gt;"")*($A66=Maintenance!$I$6:$I$55)*Maintenance!$C$6:$C$55*(1+Inputs!$B$19)^$A66)-SUMPRODUCT((Maintenance!$A$6:$A$55&lt;&gt;"")*(Maintenance!$J$6:$J$55&gt;0)*($A66&gt;Maintenance!$I$6:$I$55)*(IFERROR(MOD($A66-Maintenance!$I$6:$I$55,Maintenance!$J$6:$J$55),1)=0)*Maintenance!$C$6:$C$55*(1+Inputs!$B$19)^$A66))</f>
        <v>0</v>
      </c>
      <c r="I66" s="69">
        <f t="shared" si="2"/>
        <v>-3760.8008996484114</v>
      </c>
      <c r="J66" s="68">
        <f>1/(1+Inputs!$B$20)^$A66</f>
        <v>0.78352616646845474</v>
      </c>
      <c r="K66" s="6">
        <f t="shared" si="3"/>
        <v>-2946.6859117526355</v>
      </c>
      <c r="L66" s="6">
        <f>-SUM($I$6:I66)</f>
        <v>235074.91730116558</v>
      </c>
      <c r="M66" s="6">
        <f>-SUM($K$6:K66)</f>
        <v>215628.69733085038</v>
      </c>
    </row>
    <row r="67" spans="1:13" ht="18.2" customHeight="1">
      <c r="A67" s="1">
        <v>61</v>
      </c>
      <c r="B67" s="5">
        <f ca="1">EDATE(Inputs!$B$5,$A67)</f>
        <v>47969</v>
      </c>
      <c r="C67" s="66">
        <f>IF($A67=0,0,Inputs!$B$7)</f>
        <v>1200</v>
      </c>
      <c r="D67" s="6">
        <f>IF($A67=0,-Inputs!$B$4,0)</f>
        <v>0</v>
      </c>
      <c r="E67" s="6">
        <f>IF($A67=0,0,-$C67*Inputs!$B$12/100*Inputs!$B$13*(1+Inputs!$B$19)^$A67)</f>
        <v>-1326.4743124193265</v>
      </c>
      <c r="F67" s="6">
        <f>IF($A67=0,0,-Inputs!$B$10*(1+Inputs!$B$19)^$A67)</f>
        <v>-1024.8998106214283</v>
      </c>
      <c r="G67" s="6">
        <f>IF(AND($A67&gt;0,MOD($A67,12)=0),-Inputs!$B$9*(1+Inputs!$B$19)^$A67,0)</f>
        <v>0</v>
      </c>
      <c r="H67" s="6">
        <f>IF($A67=0,0,-SUMPRODUCT((Maintenance!$A$6:$A$55&lt;&gt;"")*(Maintenance!$I$6:$I$55&lt;&gt;"")*($A67=Maintenance!$I$6:$I$55)*Maintenance!$C$6:$C$55*(1+Inputs!$B$19)^$A67)-SUMPRODUCT((Maintenance!$A$6:$A$55&lt;&gt;"")*(Maintenance!$J$6:$J$55&gt;0)*($A67&gt;Maintenance!$I$6:$I$55)*(IFERROR(MOD($A67-Maintenance!$I$6:$I$55,Maintenance!$J$6:$J$55),1)=0)*Maintenance!$C$6:$C$55*(1+Inputs!$B$19)^$A67))</f>
        <v>0</v>
      </c>
      <c r="I67" s="69">
        <f t="shared" si="2"/>
        <v>-2351.374123040755</v>
      </c>
      <c r="J67" s="68">
        <f>1/(1+Inputs!$B$20)^$A67</f>
        <v>0.78034693645514552</v>
      </c>
      <c r="K67" s="6">
        <f t="shared" si="3"/>
        <v>-1834.8875933747574</v>
      </c>
      <c r="L67" s="6">
        <f>-SUM($I$6:I67)</f>
        <v>237426.29142420634</v>
      </c>
      <c r="M67" s="6">
        <f>-SUM($K$6:K67)</f>
        <v>217463.58492422514</v>
      </c>
    </row>
    <row r="68" spans="1:13" ht="18.2" customHeight="1">
      <c r="A68" s="1">
        <v>62</v>
      </c>
      <c r="B68" s="5">
        <f ca="1">EDATE(Inputs!$B$5,$A68)</f>
        <v>48000</v>
      </c>
      <c r="C68" s="66">
        <f>IF($A68=0,0,Inputs!$B$7)</f>
        <v>1200</v>
      </c>
      <c r="D68" s="6">
        <f>IF($A68=0,-Inputs!$B$4,0)</f>
        <v>0</v>
      </c>
      <c r="E68" s="6">
        <f>IF($A68=0,0,-$C68*Inputs!$B$12/100*Inputs!$B$13*(1+Inputs!$B$19)^$A68)</f>
        <v>-1329.2066323190627</v>
      </c>
      <c r="F68" s="6">
        <f>IF($A68=0,0,-Inputs!$B$10*(1+Inputs!$B$19)^$A68)</f>
        <v>-1027.0109364243015</v>
      </c>
      <c r="G68" s="6">
        <f>IF(AND($A68&gt;0,MOD($A68,12)=0),-Inputs!$B$9*(1+Inputs!$B$19)^$A68,0)</f>
        <v>0</v>
      </c>
      <c r="H68" s="6">
        <f>IF($A68=0,0,-SUMPRODUCT((Maintenance!$A$6:$A$55&lt;&gt;"")*(Maintenance!$I$6:$I$55&lt;&gt;"")*($A68=Maintenance!$I$6:$I$55)*Maintenance!$C$6:$C$55*(1+Inputs!$B$19)^$A68)-SUMPRODUCT((Maintenance!$A$6:$A$55&lt;&gt;"")*(Maintenance!$J$6:$J$55&gt;0)*($A68&gt;Maintenance!$I$6:$I$55)*(IFERROR(MOD($A68-Maintenance!$I$6:$I$55,Maintenance!$J$6:$J$55),1)=0)*Maintenance!$C$6:$C$55*(1+Inputs!$B$19)^$A68))</f>
        <v>0</v>
      </c>
      <c r="I68" s="69">
        <f t="shared" si="2"/>
        <v>-2356.2175687433642</v>
      </c>
      <c r="J68" s="68">
        <f>1/(1+Inputs!$B$20)^$A68</f>
        <v>0.7771806064621678</v>
      </c>
      <c r="K68" s="6">
        <f t="shared" si="3"/>
        <v>-1831.2065990327824</v>
      </c>
      <c r="L68" s="6">
        <f>-SUM($I$6:I68)</f>
        <v>239782.5089929497</v>
      </c>
      <c r="M68" s="6">
        <f>-SUM($K$6:K68)</f>
        <v>219294.79152325791</v>
      </c>
    </row>
    <row r="69" spans="1:13" ht="18.2" customHeight="1">
      <c r="A69" s="1">
        <v>63</v>
      </c>
      <c r="B69" s="5">
        <f ca="1">EDATE(Inputs!$B$5,$A69)</f>
        <v>48030</v>
      </c>
      <c r="C69" s="66">
        <f>IF($A69=0,0,Inputs!$B$7)</f>
        <v>1200</v>
      </c>
      <c r="D69" s="6">
        <f>IF($A69=0,-Inputs!$B$4,0)</f>
        <v>0</v>
      </c>
      <c r="E69" s="6">
        <f>IF($A69=0,0,-$C69*Inputs!$B$12/100*Inputs!$B$13*(1+Inputs!$B$19)^$A69)</f>
        <v>-1331.9445803504293</v>
      </c>
      <c r="F69" s="6">
        <f>IF($A69=0,0,-Inputs!$B$10*(1+Inputs!$B$19)^$A69)</f>
        <v>-1029.1264108006735</v>
      </c>
      <c r="G69" s="6">
        <f>IF(AND($A69&gt;0,MOD($A69,12)=0),-Inputs!$B$9*(1+Inputs!$B$19)^$A69,0)</f>
        <v>0</v>
      </c>
      <c r="H69" s="6">
        <f>IF($A69=0,0,-SUMPRODUCT((Maintenance!$A$6:$A$55&lt;&gt;"")*(Maintenance!$I$6:$I$55&lt;&gt;"")*($A69=Maintenance!$I$6:$I$55)*Maintenance!$C$6:$C$55*(1+Inputs!$B$19)^$A69)-SUMPRODUCT((Maintenance!$A$6:$A$55&lt;&gt;"")*(Maintenance!$J$6:$J$55&gt;0)*($A69&gt;Maintenance!$I$6:$I$55)*(IFERROR(MOD($A69-Maintenance!$I$6:$I$55,Maintenance!$J$6:$J$55),1)=0)*Maintenance!$C$6:$C$55*(1+Inputs!$B$19)^$A69))</f>
        <v>0</v>
      </c>
      <c r="I69" s="69">
        <f t="shared" si="2"/>
        <v>-2361.070991151103</v>
      </c>
      <c r="J69" s="68">
        <f>1/(1+Inputs!$B$20)^$A69</f>
        <v>0.77402712414649366</v>
      </c>
      <c r="K69" s="6">
        <f t="shared" si="3"/>
        <v>-1827.5329891863996</v>
      </c>
      <c r="L69" s="6">
        <f>-SUM($I$6:I69)</f>
        <v>242143.5799841008</v>
      </c>
      <c r="M69" s="6">
        <f>-SUM($K$6:K69)</f>
        <v>221122.32451244432</v>
      </c>
    </row>
    <row r="70" spans="1:13" ht="18.2" customHeight="1">
      <c r="A70" s="1">
        <v>64</v>
      </c>
      <c r="B70" s="5">
        <f ca="1">EDATE(Inputs!$B$5,$A70)</f>
        <v>48061</v>
      </c>
      <c r="C70" s="66">
        <f>IF($A70=0,0,Inputs!$B$7)</f>
        <v>1200</v>
      </c>
      <c r="D70" s="6">
        <f>IF($A70=0,-Inputs!$B$4,0)</f>
        <v>0</v>
      </c>
      <c r="E70" s="6">
        <f>IF($A70=0,0,-$C70*Inputs!$B$12/100*Inputs!$B$13*(1+Inputs!$B$19)^$A70)</f>
        <v>-1334.6881681064554</v>
      </c>
      <c r="F70" s="6">
        <f>IF($A70=0,0,-Inputs!$B$10*(1+Inputs!$B$19)^$A70)</f>
        <v>-1031.2462427078938</v>
      </c>
      <c r="G70" s="6">
        <f>IF(AND($A70&gt;0,MOD($A70,12)=0),-Inputs!$B$9*(1+Inputs!$B$19)^$A70,0)</f>
        <v>0</v>
      </c>
      <c r="H70" s="6">
        <f>IF($A70=0,0,-SUMPRODUCT((Maintenance!$A$6:$A$55&lt;&gt;"")*(Maintenance!$I$6:$I$55&lt;&gt;"")*($A70=Maintenance!$I$6:$I$55)*Maintenance!$C$6:$C$55*(1+Inputs!$B$19)^$A70)-SUMPRODUCT((Maintenance!$A$6:$A$55&lt;&gt;"")*(Maintenance!$J$6:$J$55&gt;0)*($A70&gt;Maintenance!$I$6:$I$55)*(IFERROR(MOD($A70-Maintenance!$I$6:$I$55,Maintenance!$J$6:$J$55),1)=0)*Maintenance!$C$6:$C$55*(1+Inputs!$B$19)^$A70))</f>
        <v>0</v>
      </c>
      <c r="I70" s="69">
        <f t="shared" ref="I70:I101" si="4">SUM(D70:H70)</f>
        <v>-2365.9344108143491</v>
      </c>
      <c r="J70" s="68">
        <f>1/(1+Inputs!$B$20)^$A70</f>
        <v>0.77088643737748197</v>
      </c>
      <c r="K70" s="6">
        <f t="shared" ref="K70:K101" si="5">I70*J70</f>
        <v>-1823.8667490214655</v>
      </c>
      <c r="L70" s="6">
        <f>-SUM($I$6:I70)</f>
        <v>244509.51439491514</v>
      </c>
      <c r="M70" s="6">
        <f>-SUM($K$6:K70)</f>
        <v>222946.19126146578</v>
      </c>
    </row>
    <row r="71" spans="1:13" ht="18.2" customHeight="1">
      <c r="A71" s="1">
        <v>65</v>
      </c>
      <c r="B71" s="5">
        <f ca="1">EDATE(Inputs!$B$5,$A71)</f>
        <v>48092</v>
      </c>
      <c r="C71" s="66">
        <f>IF($A71=0,0,Inputs!$B$7)</f>
        <v>1200</v>
      </c>
      <c r="D71" s="6">
        <f>IF($A71=0,-Inputs!$B$4,0)</f>
        <v>0</v>
      </c>
      <c r="E71" s="6">
        <f>IF($A71=0,0,-$C71*Inputs!$B$12/100*Inputs!$B$13*(1+Inputs!$B$19)^$A71)</f>
        <v>-1337.4374072040509</v>
      </c>
      <c r="F71" s="6">
        <f>IF($A71=0,0,-Inputs!$B$10*(1+Inputs!$B$19)^$A71)</f>
        <v>-1033.3704411217625</v>
      </c>
      <c r="G71" s="6">
        <f>IF(AND($A71&gt;0,MOD($A71,12)=0),-Inputs!$B$9*(1+Inputs!$B$19)^$A71,0)</f>
        <v>0</v>
      </c>
      <c r="H71" s="6">
        <f>IF($A71=0,0,-SUMPRODUCT((Maintenance!$A$6:$A$55&lt;&gt;"")*(Maintenance!$I$6:$I$55&lt;&gt;"")*($A71=Maintenance!$I$6:$I$55)*Maintenance!$C$6:$C$55*(1+Inputs!$B$19)^$A71)-SUMPRODUCT((Maintenance!$A$6:$A$55&lt;&gt;"")*(Maintenance!$J$6:$J$55&gt;0)*($A71&gt;Maintenance!$I$6:$I$55)*(IFERROR(MOD($A71-Maintenance!$I$6:$I$55,Maintenance!$J$6:$J$55),1)=0)*Maintenance!$C$6:$C$55*(1+Inputs!$B$19)^$A71))</f>
        <v>0</v>
      </c>
      <c r="I71" s="69">
        <f t="shared" si="4"/>
        <v>-2370.8078483258132</v>
      </c>
      <c r="J71" s="68">
        <f>1/(1+Inputs!$B$20)^$A71</f>
        <v>0.76775849423601705</v>
      </c>
      <c r="K71" s="6">
        <f t="shared" si="5"/>
        <v>-1820.2078637535578</v>
      </c>
      <c r="L71" s="6">
        <f>-SUM($I$6:I71)</f>
        <v>246880.32224324095</v>
      </c>
      <c r="M71" s="6">
        <f>-SUM($K$6:K71)</f>
        <v>224766.39912521932</v>
      </c>
    </row>
    <row r="72" spans="1:13" ht="18.2" customHeight="1">
      <c r="A72" s="1">
        <v>66</v>
      </c>
      <c r="B72" s="5">
        <f ca="1">EDATE(Inputs!$B$5,$A72)</f>
        <v>48122</v>
      </c>
      <c r="C72" s="66">
        <f>IF($A72=0,0,Inputs!$B$7)</f>
        <v>1200</v>
      </c>
      <c r="D72" s="6">
        <f>IF($A72=0,-Inputs!$B$4,0)</f>
        <v>0</v>
      </c>
      <c r="E72" s="6">
        <f>IF($A72=0,0,-$C72*Inputs!$B$12/100*Inputs!$B$13*(1+Inputs!$B$19)^$A72)</f>
        <v>-1340.1923092840543</v>
      </c>
      <c r="F72" s="6">
        <f>IF($A72=0,0,-Inputs!$B$10*(1+Inputs!$B$19)^$A72)</f>
        <v>-1035.4990150365684</v>
      </c>
      <c r="G72" s="6">
        <f>IF(AND($A72&gt;0,MOD($A72,12)=0),-Inputs!$B$9*(1+Inputs!$B$19)^$A72,0)</f>
        <v>0</v>
      </c>
      <c r="H72" s="6">
        <f>IF($A72=0,0,-SUMPRODUCT((Maintenance!$A$6:$A$55&lt;&gt;"")*(Maintenance!$I$6:$I$55&lt;&gt;"")*($A72=Maintenance!$I$6:$I$55)*Maintenance!$C$6:$C$55*(1+Inputs!$B$19)^$A72)-SUMPRODUCT((Maintenance!$A$6:$A$55&lt;&gt;"")*(Maintenance!$J$6:$J$55&gt;0)*($A72&gt;Maintenance!$I$6:$I$55)*(IFERROR(MOD($A72-Maintenance!$I$6:$I$55,Maintenance!$J$6:$J$55),1)=0)*Maintenance!$C$6:$C$55*(1+Inputs!$B$19)^$A72))</f>
        <v>0</v>
      </c>
      <c r="I72" s="69">
        <f t="shared" si="4"/>
        <v>-2375.6913243206227</v>
      </c>
      <c r="J72" s="68">
        <f>1/(1+Inputs!$B$20)^$A72</f>
        <v>0.76464324301364894</v>
      </c>
      <c r="K72" s="6">
        <f t="shared" si="5"/>
        <v>-1816.5563186279114</v>
      </c>
      <c r="L72" s="6">
        <f>-SUM($I$6:I72)</f>
        <v>249256.01356756157</v>
      </c>
      <c r="M72" s="6">
        <f>-SUM($K$6:K72)</f>
        <v>226582.95544384723</v>
      </c>
    </row>
    <row r="73" spans="1:13" ht="18.2" customHeight="1">
      <c r="A73" s="1">
        <v>67</v>
      </c>
      <c r="B73" s="5">
        <f ca="1">EDATE(Inputs!$B$5,$A73)</f>
        <v>48153</v>
      </c>
      <c r="C73" s="66">
        <f>IF($A73=0,0,Inputs!$B$7)</f>
        <v>1200</v>
      </c>
      <c r="D73" s="6">
        <f>IF($A73=0,-Inputs!$B$4,0)</f>
        <v>0</v>
      </c>
      <c r="E73" s="6">
        <f>IF($A73=0,0,-$C73*Inputs!$B$12/100*Inputs!$B$13*(1+Inputs!$B$19)^$A73)</f>
        <v>-1342.9528860112821</v>
      </c>
      <c r="F73" s="6">
        <f>IF($A73=0,0,-Inputs!$B$10*(1+Inputs!$B$19)^$A73)</f>
        <v>-1037.6319734651272</v>
      </c>
      <c r="G73" s="6">
        <f>IF(AND($A73&gt;0,MOD($A73,12)=0),-Inputs!$B$9*(1+Inputs!$B$19)^$A73,0)</f>
        <v>0</v>
      </c>
      <c r="H73" s="6">
        <f>IF($A73=0,0,-SUMPRODUCT((Maintenance!$A$6:$A$55&lt;&gt;"")*(Maintenance!$I$6:$I$55&lt;&gt;"")*($A73=Maintenance!$I$6:$I$55)*Maintenance!$C$6:$C$55*(1+Inputs!$B$19)^$A73)-SUMPRODUCT((Maintenance!$A$6:$A$55&lt;&gt;"")*(Maintenance!$J$6:$J$55&gt;0)*($A73&gt;Maintenance!$I$6:$I$55)*(IFERROR(MOD($A73-Maintenance!$I$6:$I$55,Maintenance!$J$6:$J$55),1)=0)*Maintenance!$C$6:$C$55*(1+Inputs!$B$19)^$A73))</f>
        <v>0</v>
      </c>
      <c r="I73" s="69">
        <f t="shared" si="4"/>
        <v>-2380.5848594764093</v>
      </c>
      <c r="J73" s="68">
        <f>1/(1+Inputs!$B$20)^$A73</f>
        <v>0.76154063221174051</v>
      </c>
      <c r="K73" s="6">
        <f t="shared" si="5"/>
        <v>-1812.9120989193623</v>
      </c>
      <c r="L73" s="6">
        <f>-SUM($I$6:I73)</f>
        <v>251636.59842703797</v>
      </c>
      <c r="M73" s="6">
        <f>-SUM($K$6:K73)</f>
        <v>228395.86754276659</v>
      </c>
    </row>
    <row r="74" spans="1:13" ht="18.2" customHeight="1">
      <c r="A74" s="1">
        <v>68</v>
      </c>
      <c r="B74" s="5">
        <f ca="1">EDATE(Inputs!$B$5,$A74)</f>
        <v>48183</v>
      </c>
      <c r="C74" s="66">
        <f>IF($A74=0,0,Inputs!$B$7)</f>
        <v>1200</v>
      </c>
      <c r="D74" s="6">
        <f>IF($A74=0,-Inputs!$B$4,0)</f>
        <v>0</v>
      </c>
      <c r="E74" s="6">
        <f>IF($A74=0,0,-$C74*Inputs!$B$12/100*Inputs!$B$13*(1+Inputs!$B$19)^$A74)</f>
        <v>-1345.7191490745779</v>
      </c>
      <c r="F74" s="6">
        <f>IF($A74=0,0,-Inputs!$B$10*(1+Inputs!$B$19)^$A74)</f>
        <v>-1039.7693254388191</v>
      </c>
      <c r="G74" s="6">
        <f>IF(AND($A74&gt;0,MOD($A74,12)=0),-Inputs!$B$9*(1+Inputs!$B$19)^$A74,0)</f>
        <v>0</v>
      </c>
      <c r="H74" s="6">
        <f>IF($A74=0,0,-SUMPRODUCT((Maintenance!$A$6:$A$55&lt;&gt;"")*(Maintenance!$I$6:$I$55&lt;&gt;"")*($A74=Maintenance!$I$6:$I$55)*Maintenance!$C$6:$C$55*(1+Inputs!$B$19)^$A74)-SUMPRODUCT((Maintenance!$A$6:$A$55&lt;&gt;"")*(Maintenance!$J$6:$J$55&gt;0)*($A74&gt;Maintenance!$I$6:$I$55)*(IFERROR(MOD($A74-Maintenance!$I$6:$I$55,Maintenance!$J$6:$J$55),1)=0)*Maintenance!$C$6:$C$55*(1+Inputs!$B$19)^$A74))</f>
        <v>0</v>
      </c>
      <c r="I74" s="69">
        <f t="shared" si="4"/>
        <v>-2385.4884745133968</v>
      </c>
      <c r="J74" s="68">
        <f>1/(1+Inputs!$B$20)^$A74</f>
        <v>0.75845061054061447</v>
      </c>
      <c r="K74" s="6">
        <f t="shared" si="5"/>
        <v>-1809.2751899322848</v>
      </c>
      <c r="L74" s="6">
        <f>-SUM($I$6:I74)</f>
        <v>254022.08690155137</v>
      </c>
      <c r="M74" s="6">
        <f>-SUM($K$6:K74)</f>
        <v>230205.14273269888</v>
      </c>
    </row>
    <row r="75" spans="1:13" ht="18.2" customHeight="1">
      <c r="A75" s="1">
        <v>69</v>
      </c>
      <c r="B75" s="5">
        <f ca="1">EDATE(Inputs!$B$5,$A75)</f>
        <v>48214</v>
      </c>
      <c r="C75" s="66">
        <f>IF($A75=0,0,Inputs!$B$7)</f>
        <v>1200</v>
      </c>
      <c r="D75" s="6">
        <f>IF($A75=0,-Inputs!$B$4,0)</f>
        <v>0</v>
      </c>
      <c r="E75" s="6">
        <f>IF($A75=0,0,-$C75*Inputs!$B$12/100*Inputs!$B$13*(1+Inputs!$B$19)^$A75)</f>
        <v>-1348.4911101868636</v>
      </c>
      <c r="F75" s="6">
        <f>IF($A75=0,0,-Inputs!$B$10*(1+Inputs!$B$19)^$A75)</f>
        <v>-1041.9110800076278</v>
      </c>
      <c r="G75" s="6">
        <f>IF(AND($A75&gt;0,MOD($A75,12)=0),-Inputs!$B$9*(1+Inputs!$B$19)^$A75,0)</f>
        <v>0</v>
      </c>
      <c r="H75" s="6">
        <f>IF($A75=0,0,-SUMPRODUCT((Maintenance!$A$6:$A$55&lt;&gt;"")*(Maintenance!$I$6:$I$55&lt;&gt;"")*($A75=Maintenance!$I$6:$I$55)*Maintenance!$C$6:$C$55*(1+Inputs!$B$19)^$A75)-SUMPRODUCT((Maintenance!$A$6:$A$55&lt;&gt;"")*(Maintenance!$J$6:$J$55&gt;0)*($A75&gt;Maintenance!$I$6:$I$55)*(IFERROR(MOD($A75-Maintenance!$I$6:$I$55,Maintenance!$J$6:$J$55),1)=0)*Maintenance!$C$6:$C$55*(1+Inputs!$B$19)^$A75))</f>
        <v>0</v>
      </c>
      <c r="I75" s="69">
        <f t="shared" si="4"/>
        <v>-2390.4021901944916</v>
      </c>
      <c r="J75" s="68">
        <f>1/(1+Inputs!$B$20)^$A75</f>
        <v>0.75537312691870606</v>
      </c>
      <c r="K75" s="6">
        <f t="shared" si="5"/>
        <v>-1805.6455770005366</v>
      </c>
      <c r="L75" s="6">
        <f>-SUM($I$6:I75)</f>
        <v>256412.48909174587</v>
      </c>
      <c r="M75" s="6">
        <f>-SUM($K$6:K75)</f>
        <v>232010.78830969942</v>
      </c>
    </row>
    <row r="76" spans="1:13" ht="18.2" customHeight="1">
      <c r="A76" s="1">
        <v>70</v>
      </c>
      <c r="B76" s="5">
        <f ca="1">EDATE(Inputs!$B$5,$A76)</f>
        <v>48245</v>
      </c>
      <c r="C76" s="66">
        <f>IF($A76=0,0,Inputs!$B$7)</f>
        <v>1200</v>
      </c>
      <c r="D76" s="6">
        <f>IF($A76=0,-Inputs!$B$4,0)</f>
        <v>0</v>
      </c>
      <c r="E76" s="6">
        <f>IF($A76=0,0,-$C76*Inputs!$B$12/100*Inputs!$B$13*(1+Inputs!$B$19)^$A76)</f>
        <v>-1351.2687810851869</v>
      </c>
      <c r="F76" s="6">
        <f>IF($A76=0,0,-Inputs!$B$10*(1+Inputs!$B$19)^$A76)</f>
        <v>-1044.0572462401785</v>
      </c>
      <c r="G76" s="6">
        <f>IF(AND($A76&gt;0,MOD($A76,12)=0),-Inputs!$B$9*(1+Inputs!$B$19)^$A76,0)</f>
        <v>0</v>
      </c>
      <c r="H76" s="6">
        <f>IF($A76=0,0,-SUMPRODUCT((Maintenance!$A$6:$A$55&lt;&gt;"")*(Maintenance!$I$6:$I$55&lt;&gt;"")*($A76=Maintenance!$I$6:$I$55)*Maintenance!$C$6:$C$55*(1+Inputs!$B$19)^$A76)-SUMPRODUCT((Maintenance!$A$6:$A$55&lt;&gt;"")*(Maintenance!$J$6:$J$55&gt;0)*($A76&gt;Maintenance!$I$6:$I$55)*(IFERROR(MOD($A76-Maintenance!$I$6:$I$55,Maintenance!$J$6:$J$55),1)=0)*Maintenance!$C$6:$C$55*(1+Inputs!$B$19)^$A76))</f>
        <v>0</v>
      </c>
      <c r="I76" s="69">
        <f t="shared" si="4"/>
        <v>-2395.3260273253654</v>
      </c>
      <c r="J76" s="68">
        <f>1/(1+Inputs!$B$20)^$A76</f>
        <v>0.75230813047171918</v>
      </c>
      <c r="K76" s="6">
        <f t="shared" si="5"/>
        <v>-1802.0232454873958</v>
      </c>
      <c r="L76" s="6">
        <f>-SUM($I$6:I76)</f>
        <v>258807.81511907122</v>
      </c>
      <c r="M76" s="6">
        <f>-SUM($K$6:K76)</f>
        <v>233812.81155518681</v>
      </c>
    </row>
    <row r="77" spans="1:13" ht="18.2" customHeight="1">
      <c r="A77" s="1">
        <v>71</v>
      </c>
      <c r="B77" s="5">
        <f ca="1">EDATE(Inputs!$B$5,$A77)</f>
        <v>48274</v>
      </c>
      <c r="C77" s="66">
        <f>IF($A77=0,0,Inputs!$B$7)</f>
        <v>1200</v>
      </c>
      <c r="D77" s="6">
        <f>IF($A77=0,-Inputs!$B$4,0)</f>
        <v>0</v>
      </c>
      <c r="E77" s="6">
        <f>IF($A77=0,0,-$C77*Inputs!$B$12/100*Inputs!$B$13*(1+Inputs!$B$19)^$A77)</f>
        <v>-1354.0521735307725</v>
      </c>
      <c r="F77" s="6">
        <f>IF($A77=0,0,-Inputs!$B$10*(1+Inputs!$B$19)^$A77)</f>
        <v>-1046.2078332237763</v>
      </c>
      <c r="G77" s="6">
        <f>IF(AND($A77&gt;0,MOD($A77,12)=0),-Inputs!$B$9*(1+Inputs!$B$19)^$A77,0)</f>
        <v>0</v>
      </c>
      <c r="H77" s="6">
        <f>IF($A77=0,0,-SUMPRODUCT((Maintenance!$A$6:$A$55&lt;&gt;"")*(Maintenance!$I$6:$I$55&lt;&gt;"")*($A77=Maintenance!$I$6:$I$55)*Maintenance!$C$6:$C$55*(1+Inputs!$B$19)^$A77)-SUMPRODUCT((Maintenance!$A$6:$A$55&lt;&gt;"")*(Maintenance!$J$6:$J$55&gt;0)*($A77&gt;Maintenance!$I$6:$I$55)*(IFERROR(MOD($A77-Maintenance!$I$6:$I$55,Maintenance!$J$6:$J$55),1)=0)*Maintenance!$C$6:$C$55*(1+Inputs!$B$19)^$A77))</f>
        <v>0</v>
      </c>
      <c r="I77" s="69">
        <f t="shared" si="4"/>
        <v>-2400.2600067545491</v>
      </c>
      <c r="J77" s="68">
        <f>1/(1+Inputs!$B$20)^$A77</f>
        <v>0.74925557053178471</v>
      </c>
      <c r="K77" s="6">
        <f t="shared" si="5"/>
        <v>-1798.408180785505</v>
      </c>
      <c r="L77" s="6">
        <f>-SUM($I$6:I77)</f>
        <v>261208.07512582577</v>
      </c>
      <c r="M77" s="6">
        <f>-SUM($K$6:K77)</f>
        <v>235611.21973597232</v>
      </c>
    </row>
    <row r="78" spans="1:13" ht="18.2" customHeight="1">
      <c r="A78" s="1">
        <v>72</v>
      </c>
      <c r="B78" s="5">
        <f ca="1">EDATE(Inputs!$B$5,$A78)</f>
        <v>48305</v>
      </c>
      <c r="C78" s="66">
        <f>IF($A78=0,0,Inputs!$B$7)</f>
        <v>1200</v>
      </c>
      <c r="D78" s="6">
        <f>IF($A78=0,-Inputs!$B$4,0)</f>
        <v>0</v>
      </c>
      <c r="E78" s="6">
        <f>IF($A78=0,0,-$C78*Inputs!$B$12/100*Inputs!$B$13*(1+Inputs!$B$19)^$A78)</f>
        <v>-1356.8412993090706</v>
      </c>
      <c r="F78" s="6">
        <f>IF($A78=0,0,-Inputs!$B$10*(1+Inputs!$B$19)^$A78)</f>
        <v>-1048.3628500644443</v>
      </c>
      <c r="G78" s="6">
        <f>IF(AND($A78&gt;0,MOD($A78,12)=0),-Inputs!$B$9*(1+Inputs!$B$19)^$A78,0)</f>
        <v>-1449.6167727661011</v>
      </c>
      <c r="H78" s="6">
        <f>IF($A78=0,0,-SUMPRODUCT((Maintenance!$A$6:$A$55&lt;&gt;"")*(Maintenance!$I$6:$I$55&lt;&gt;"")*($A78=Maintenance!$I$6:$I$55)*Maintenance!$C$6:$C$55*(1+Inputs!$B$19)^$A78)-SUMPRODUCT((Maintenance!$A$6:$A$55&lt;&gt;"")*(Maintenance!$J$6:$J$55&gt;0)*($A78&gt;Maintenance!$I$6:$I$55)*(IFERROR(MOD($A78-Maintenance!$I$6:$I$55,Maintenance!$J$6:$J$55),1)=0)*Maintenance!$C$6:$C$55*(1+Inputs!$B$19)^$A78))</f>
        <v>0</v>
      </c>
      <c r="I78" s="69">
        <f t="shared" si="4"/>
        <v>-3854.8209221396164</v>
      </c>
      <c r="J78" s="68">
        <f>1/(1+Inputs!$B$20)^$A78</f>
        <v>0.74621539663662273</v>
      </c>
      <c r="K78" s="6">
        <f t="shared" si="5"/>
        <v>-2876.5267233775658</v>
      </c>
      <c r="L78" s="6">
        <f>-SUM($I$6:I78)</f>
        <v>265062.89604796539</v>
      </c>
      <c r="M78" s="6">
        <f>-SUM($K$6:K78)</f>
        <v>238487.74645934987</v>
      </c>
    </row>
    <row r="79" spans="1:13" ht="18.2" customHeight="1">
      <c r="A79" s="1">
        <v>73</v>
      </c>
      <c r="B79" s="5">
        <f ca="1">EDATE(Inputs!$B$5,$A79)</f>
        <v>48335</v>
      </c>
      <c r="C79" s="66">
        <f>IF($A79=0,0,Inputs!$B$7)</f>
        <v>1200</v>
      </c>
      <c r="D79" s="6">
        <f>IF($A79=0,-Inputs!$B$4,0)</f>
        <v>0</v>
      </c>
      <c r="E79" s="6">
        <f>IF($A79=0,0,-$C79*Inputs!$B$12/100*Inputs!$B$13*(1+Inputs!$B$19)^$A79)</f>
        <v>-1359.6361702298079</v>
      </c>
      <c r="F79" s="6">
        <f>IF($A79=0,0,-Inputs!$B$10*(1+Inputs!$B$19)^$A79)</f>
        <v>-1050.5223058869626</v>
      </c>
      <c r="G79" s="6">
        <f>IF(AND($A79&gt;0,MOD($A79,12)=0),-Inputs!$B$9*(1+Inputs!$B$19)^$A79,0)</f>
        <v>0</v>
      </c>
      <c r="H79" s="6">
        <f>IF($A79=0,0,-SUMPRODUCT((Maintenance!$A$6:$A$55&lt;&gt;"")*(Maintenance!$I$6:$I$55&lt;&gt;"")*($A79=Maintenance!$I$6:$I$55)*Maintenance!$C$6:$C$55*(1+Inputs!$B$19)^$A79)-SUMPRODUCT((Maintenance!$A$6:$A$55&lt;&gt;"")*(Maintenance!$J$6:$J$55&gt;0)*($A79&gt;Maintenance!$I$6:$I$55)*(IFERROR(MOD($A79-Maintenance!$I$6:$I$55,Maintenance!$J$6:$J$55),1)=0)*Maintenance!$C$6:$C$55*(1+Inputs!$B$19)^$A79))</f>
        <v>0</v>
      </c>
      <c r="I79" s="69">
        <f t="shared" si="4"/>
        <v>-2410.1584761167705</v>
      </c>
      <c r="J79" s="68">
        <f>1/(1+Inputs!$B$20)^$A79</f>
        <v>0.74318755852870921</v>
      </c>
      <c r="K79" s="6">
        <f t="shared" si="5"/>
        <v>-1791.1997935324971</v>
      </c>
      <c r="L79" s="6">
        <f>-SUM($I$6:I79)</f>
        <v>267473.05452408217</v>
      </c>
      <c r="M79" s="6">
        <f>-SUM($K$6:K79)</f>
        <v>240278.94625288236</v>
      </c>
    </row>
    <row r="80" spans="1:13" ht="18.2" customHeight="1">
      <c r="A80" s="1">
        <v>74</v>
      </c>
      <c r="B80" s="5">
        <f ca="1">EDATE(Inputs!$B$5,$A80)</f>
        <v>48366</v>
      </c>
      <c r="C80" s="66">
        <f>IF($A80=0,0,Inputs!$B$7)</f>
        <v>1200</v>
      </c>
      <c r="D80" s="6">
        <f>IF($A80=0,-Inputs!$B$4,0)</f>
        <v>0</v>
      </c>
      <c r="E80" s="6">
        <f>IF($A80=0,0,-$C80*Inputs!$B$12/100*Inputs!$B$13*(1+Inputs!$B$19)^$A80)</f>
        <v>-1362.4367981270375</v>
      </c>
      <c r="F80" s="6">
        <f>IF($A80=0,0,-Inputs!$B$10*(1+Inputs!$B$19)^$A80)</f>
        <v>-1052.6862098349075</v>
      </c>
      <c r="G80" s="6">
        <f>IF(AND($A80&gt;0,MOD($A80,12)=0),-Inputs!$B$9*(1+Inputs!$B$19)^$A80,0)</f>
        <v>0</v>
      </c>
      <c r="H80" s="6">
        <f>IF($A80=0,0,-SUMPRODUCT((Maintenance!$A$6:$A$55&lt;&gt;"")*(Maintenance!$I$6:$I$55&lt;&gt;"")*($A80=Maintenance!$I$6:$I$55)*Maintenance!$C$6:$C$55*(1+Inputs!$B$19)^$A80)-SUMPRODUCT((Maintenance!$A$6:$A$55&lt;&gt;"")*(Maintenance!$J$6:$J$55&gt;0)*($A80&gt;Maintenance!$I$6:$I$55)*(IFERROR(MOD($A80-Maintenance!$I$6:$I$55,Maintenance!$J$6:$J$55),1)=0)*Maintenance!$C$6:$C$55*(1+Inputs!$B$19)^$A80))</f>
        <v>0</v>
      </c>
      <c r="I80" s="69">
        <f t="shared" si="4"/>
        <v>-2415.1230079619449</v>
      </c>
      <c r="J80" s="68">
        <f>1/(1+Inputs!$B$20)^$A80</f>
        <v>0.74017200615444467</v>
      </c>
      <c r="K80" s="6">
        <f t="shared" si="5"/>
        <v>-1787.6064419129495</v>
      </c>
      <c r="L80" s="6">
        <f>-SUM($I$6:I80)</f>
        <v>269888.17753204412</v>
      </c>
      <c r="M80" s="6">
        <f>-SUM($K$6:K80)</f>
        <v>242066.5526947953</v>
      </c>
    </row>
    <row r="81" spans="1:13" ht="18.2" customHeight="1">
      <c r="A81" s="1">
        <v>75</v>
      </c>
      <c r="B81" s="5">
        <f ca="1">EDATE(Inputs!$B$5,$A81)</f>
        <v>48396</v>
      </c>
      <c r="C81" s="66">
        <f>IF($A81=0,0,Inputs!$B$7)</f>
        <v>1200</v>
      </c>
      <c r="D81" s="6">
        <f>IF($A81=0,-Inputs!$B$4,0)</f>
        <v>0</v>
      </c>
      <c r="E81" s="6">
        <f>IF($A81=0,0,-$C81*Inputs!$B$12/100*Inputs!$B$13*(1+Inputs!$B$19)^$A81)</f>
        <v>-1365.243194859188</v>
      </c>
      <c r="F81" s="6">
        <f>IF($A81=0,0,-Inputs!$B$10*(1+Inputs!$B$19)^$A81)</f>
        <v>-1054.8545710706887</v>
      </c>
      <c r="G81" s="6">
        <f>IF(AND($A81&gt;0,MOD($A81,12)=0),-Inputs!$B$9*(1+Inputs!$B$19)^$A81,0)</f>
        <v>0</v>
      </c>
      <c r="H81" s="6">
        <f>IF($A81=0,0,-SUMPRODUCT((Maintenance!$A$6:$A$55&lt;&gt;"")*(Maintenance!$I$6:$I$55&lt;&gt;"")*($A81=Maintenance!$I$6:$I$55)*Maintenance!$C$6:$C$55*(1+Inputs!$B$19)^$A81)-SUMPRODUCT((Maintenance!$A$6:$A$55&lt;&gt;"")*(Maintenance!$J$6:$J$55&gt;0)*($A81&gt;Maintenance!$I$6:$I$55)*(IFERROR(MOD($A81-Maintenance!$I$6:$I$55,Maintenance!$J$6:$J$55),1)=0)*Maintenance!$C$6:$C$55*(1+Inputs!$B$19)^$A81))</f>
        <v>0</v>
      </c>
      <c r="I81" s="69">
        <f t="shared" si="4"/>
        <v>-2420.0977659298769</v>
      </c>
      <c r="J81" s="68">
        <f>1/(1+Inputs!$B$20)^$A81</f>
        <v>0.73716868966332649</v>
      </c>
      <c r="K81" s="6">
        <f t="shared" si="5"/>
        <v>-1784.0202989676711</v>
      </c>
      <c r="L81" s="6">
        <f>-SUM($I$6:I81)</f>
        <v>272308.275297974</v>
      </c>
      <c r="M81" s="6">
        <f>-SUM($K$6:K81)</f>
        <v>243850.57299376297</v>
      </c>
    </row>
    <row r="82" spans="1:13" ht="18.2" customHeight="1">
      <c r="A82" s="1">
        <v>76</v>
      </c>
      <c r="B82" s="5">
        <f ca="1">EDATE(Inputs!$B$5,$A82)</f>
        <v>48427</v>
      </c>
      <c r="C82" s="66">
        <f>IF($A82=0,0,Inputs!$B$7)</f>
        <v>1200</v>
      </c>
      <c r="D82" s="6">
        <f>IF($A82=0,-Inputs!$B$4,0)</f>
        <v>0</v>
      </c>
      <c r="E82" s="6">
        <f>IF($A82=0,0,-$C82*Inputs!$B$12/100*Inputs!$B$13*(1+Inputs!$B$19)^$A82)</f>
        <v>-1368.055372309115</v>
      </c>
      <c r="F82" s="6">
        <f>IF($A82=0,0,-Inputs!$B$10*(1+Inputs!$B$19)^$A82)</f>
        <v>-1057.0273987755897</v>
      </c>
      <c r="G82" s="6">
        <f>IF(AND($A82&gt;0,MOD($A82,12)=0),-Inputs!$B$9*(1+Inputs!$B$19)^$A82,0)</f>
        <v>0</v>
      </c>
      <c r="H82" s="6">
        <f>IF($A82=0,0,-SUMPRODUCT((Maintenance!$A$6:$A$55&lt;&gt;"")*(Maintenance!$I$6:$I$55&lt;&gt;"")*($A82=Maintenance!$I$6:$I$55)*Maintenance!$C$6:$C$55*(1+Inputs!$B$19)^$A82)-SUMPRODUCT((Maintenance!$A$6:$A$55&lt;&gt;"")*(Maintenance!$J$6:$J$55&gt;0)*($A82&gt;Maintenance!$I$6:$I$55)*(IFERROR(MOD($A82-Maintenance!$I$6:$I$55,Maintenance!$J$6:$J$55),1)=0)*Maintenance!$C$6:$C$55*(1+Inputs!$B$19)^$A82))</f>
        <v>0</v>
      </c>
      <c r="I82" s="69">
        <f t="shared" si="4"/>
        <v>-2425.0827710847047</v>
      </c>
      <c r="J82" s="68">
        <f>1/(1+Inputs!$B$20)^$A82</f>
        <v>0.73417755940712492</v>
      </c>
      <c r="K82" s="6">
        <f t="shared" si="5"/>
        <v>-1780.4413502352359</v>
      </c>
      <c r="L82" s="6">
        <f>-SUM($I$6:I82)</f>
        <v>274733.35806905868</v>
      </c>
      <c r="M82" s="6">
        <f>-SUM($K$6:K82)</f>
        <v>245631.01434399819</v>
      </c>
    </row>
    <row r="83" spans="1:13" ht="18.2" customHeight="1">
      <c r="A83" s="1">
        <v>77</v>
      </c>
      <c r="B83" s="5">
        <f ca="1">EDATE(Inputs!$B$5,$A83)</f>
        <v>48458</v>
      </c>
      <c r="C83" s="66">
        <f>IF($A83=0,0,Inputs!$B$7)</f>
        <v>1200</v>
      </c>
      <c r="D83" s="6">
        <f>IF($A83=0,-Inputs!$B$4,0)</f>
        <v>0</v>
      </c>
      <c r="E83" s="6">
        <f>IF($A83=0,0,-$C83*Inputs!$B$12/100*Inputs!$B$13*(1+Inputs!$B$19)^$A83)</f>
        <v>-1370.8733423841502</v>
      </c>
      <c r="F83" s="6">
        <f>IF($A83=0,0,-Inputs!$B$10*(1+Inputs!$B$19)^$A83)</f>
        <v>-1059.2047021498049</v>
      </c>
      <c r="G83" s="6">
        <f>IF(AND($A83&gt;0,MOD($A83,12)=0),-Inputs!$B$9*(1+Inputs!$B$19)^$A83,0)</f>
        <v>0</v>
      </c>
      <c r="H83" s="6">
        <f>IF($A83=0,0,-SUMPRODUCT((Maintenance!$A$6:$A$55&lt;&gt;"")*(Maintenance!$I$6:$I$55&lt;&gt;"")*($A83=Maintenance!$I$6:$I$55)*Maintenance!$C$6:$C$55*(1+Inputs!$B$19)^$A83)-SUMPRODUCT((Maintenance!$A$6:$A$55&lt;&gt;"")*(Maintenance!$J$6:$J$55&gt;0)*($A83&gt;Maintenance!$I$6:$I$55)*(IFERROR(MOD($A83-Maintenance!$I$6:$I$55,Maintenance!$J$6:$J$55),1)=0)*Maintenance!$C$6:$C$55*(1+Inputs!$B$19)^$A83))</f>
        <v>0</v>
      </c>
      <c r="I83" s="69">
        <f t="shared" si="4"/>
        <v>-2430.0780445339551</v>
      </c>
      <c r="J83" s="68">
        <f>1/(1+Inputs!$B$20)^$A83</f>
        <v>0.73119856593906296</v>
      </c>
      <c r="K83" s="6">
        <f t="shared" si="5"/>
        <v>-1776.8695812832304</v>
      </c>
      <c r="L83" s="6">
        <f>-SUM($I$6:I83)</f>
        <v>277163.43611359264</v>
      </c>
      <c r="M83" s="6">
        <f>-SUM($K$6:K83)</f>
        <v>247407.88392528144</v>
      </c>
    </row>
    <row r="84" spans="1:13" ht="18.2" customHeight="1">
      <c r="A84" s="1">
        <v>78</v>
      </c>
      <c r="B84" s="5">
        <f ca="1">EDATE(Inputs!$B$5,$A84)</f>
        <v>48488</v>
      </c>
      <c r="C84" s="66">
        <f>IF($A84=0,0,Inputs!$B$7)</f>
        <v>1200</v>
      </c>
      <c r="D84" s="6">
        <f>IF($A84=0,-Inputs!$B$4,0)</f>
        <v>0</v>
      </c>
      <c r="E84" s="6">
        <f>IF($A84=0,0,-$C84*Inputs!$B$12/100*Inputs!$B$13*(1+Inputs!$B$19)^$A84)</f>
        <v>-1373.6971170161537</v>
      </c>
      <c r="F84" s="6">
        <f>IF($A84=0,0,-Inputs!$B$10*(1+Inputs!$B$19)^$A84)</f>
        <v>-1061.3864904124812</v>
      </c>
      <c r="G84" s="6">
        <f>IF(AND($A84&gt;0,MOD($A84,12)=0),-Inputs!$B$9*(1+Inputs!$B$19)^$A84,0)</f>
        <v>0</v>
      </c>
      <c r="H84" s="6">
        <f>IF($A84=0,0,-SUMPRODUCT((Maintenance!$A$6:$A$55&lt;&gt;"")*(Maintenance!$I$6:$I$55&lt;&gt;"")*($A84=Maintenance!$I$6:$I$55)*Maintenance!$C$6:$C$55*(1+Inputs!$B$19)^$A84)-SUMPRODUCT((Maintenance!$A$6:$A$55&lt;&gt;"")*(Maintenance!$J$6:$J$55&gt;0)*($A84&gt;Maintenance!$I$6:$I$55)*(IFERROR(MOD($A84-Maintenance!$I$6:$I$55,Maintenance!$J$6:$J$55),1)=0)*Maintenance!$C$6:$C$55*(1+Inputs!$B$19)^$A84))</f>
        <v>0</v>
      </c>
      <c r="I84" s="69">
        <f t="shared" si="4"/>
        <v>-2435.0836074286349</v>
      </c>
      <c r="J84" s="68">
        <f>1/(1+Inputs!$B$20)^$A84</f>
        <v>0.72823166001299833</v>
      </c>
      <c r="K84" s="6">
        <f t="shared" si="5"/>
        <v>-1773.3049777081951</v>
      </c>
      <c r="L84" s="6">
        <f>-SUM($I$6:I84)</f>
        <v>279598.51972102129</v>
      </c>
      <c r="M84" s="6">
        <f>-SUM($K$6:K84)</f>
        <v>249181.18890298964</v>
      </c>
    </row>
    <row r="85" spans="1:13" ht="18.2" customHeight="1">
      <c r="A85" s="1">
        <v>79</v>
      </c>
      <c r="B85" s="5">
        <f ca="1">EDATE(Inputs!$B$5,$A85)</f>
        <v>48519</v>
      </c>
      <c r="C85" s="66">
        <f>IF($A85=0,0,Inputs!$B$7)</f>
        <v>1200</v>
      </c>
      <c r="D85" s="6">
        <f>IF($A85=0,-Inputs!$B$4,0)</f>
        <v>0</v>
      </c>
      <c r="E85" s="6">
        <f>IF($A85=0,0,-$C85*Inputs!$B$12/100*Inputs!$B$13*(1+Inputs!$B$19)^$A85)</f>
        <v>-1376.5267081615621</v>
      </c>
      <c r="F85" s="6">
        <f>IF($A85=0,0,-Inputs!$B$10*(1+Inputs!$B$19)^$A85)</f>
        <v>-1063.5727728017539</v>
      </c>
      <c r="G85" s="6">
        <f>IF(AND($A85&gt;0,MOD($A85,12)=0),-Inputs!$B$9*(1+Inputs!$B$19)^$A85,0)</f>
        <v>0</v>
      </c>
      <c r="H85" s="6">
        <f>IF($A85=0,0,-SUMPRODUCT((Maintenance!$A$6:$A$55&lt;&gt;"")*(Maintenance!$I$6:$I$55&lt;&gt;"")*($A85=Maintenance!$I$6:$I$55)*Maintenance!$C$6:$C$55*(1+Inputs!$B$19)^$A85)-SUMPRODUCT((Maintenance!$A$6:$A$55&lt;&gt;"")*(Maintenance!$J$6:$J$55&gt;0)*($A85&gt;Maintenance!$I$6:$I$55)*(IFERROR(MOD($A85-Maintenance!$I$6:$I$55,Maintenance!$J$6:$J$55),1)=0)*Maintenance!$C$6:$C$55*(1+Inputs!$B$19)^$A85))</f>
        <v>0</v>
      </c>
      <c r="I85" s="69">
        <f t="shared" si="4"/>
        <v>-2440.0994809633157</v>
      </c>
      <c r="J85" s="68">
        <f>1/(1+Inputs!$B$20)^$A85</f>
        <v>0.72527679258260924</v>
      </c>
      <c r="K85" s="6">
        <f t="shared" si="5"/>
        <v>-1769.7475251355631</v>
      </c>
      <c r="L85" s="6">
        <f>-SUM($I$6:I85)</f>
        <v>282038.61920198461</v>
      </c>
      <c r="M85" s="6">
        <f>-SUM($K$6:K85)</f>
        <v>250950.93642812519</v>
      </c>
    </row>
    <row r="86" spans="1:13" ht="18.2" customHeight="1">
      <c r="A86" s="1">
        <v>80</v>
      </c>
      <c r="B86" s="5">
        <f ca="1">EDATE(Inputs!$B$5,$A86)</f>
        <v>48549</v>
      </c>
      <c r="C86" s="66">
        <f>IF($A86=0,0,Inputs!$B$7)</f>
        <v>1200</v>
      </c>
      <c r="D86" s="6">
        <f>IF($A86=0,-Inputs!$B$4,0)</f>
        <v>0</v>
      </c>
      <c r="E86" s="6">
        <f>IF($A86=0,0,-$C86*Inputs!$B$12/100*Inputs!$B$13*(1+Inputs!$B$19)^$A86)</f>
        <v>-1379.3621278014402</v>
      </c>
      <c r="F86" s="6">
        <f>IF($A86=0,0,-Inputs!$B$10*(1+Inputs!$B$19)^$A86)</f>
        <v>-1065.763558574788</v>
      </c>
      <c r="G86" s="6">
        <f>IF(AND($A86&gt;0,MOD($A86,12)=0),-Inputs!$B$9*(1+Inputs!$B$19)^$A86,0)</f>
        <v>0</v>
      </c>
      <c r="H86" s="6">
        <f>IF($A86=0,0,-SUMPRODUCT((Maintenance!$A$6:$A$55&lt;&gt;"")*(Maintenance!$I$6:$I$55&lt;&gt;"")*($A86=Maintenance!$I$6:$I$55)*Maintenance!$C$6:$C$55*(1+Inputs!$B$19)^$A86)-SUMPRODUCT((Maintenance!$A$6:$A$55&lt;&gt;"")*(Maintenance!$J$6:$J$55&gt;0)*($A86&gt;Maintenance!$I$6:$I$55)*(IFERROR(MOD($A86-Maintenance!$I$6:$I$55,Maintenance!$J$6:$J$55),1)=0)*Maintenance!$C$6:$C$55*(1+Inputs!$B$19)^$A86))</f>
        <v>-10021.006911377985</v>
      </c>
      <c r="I86" s="69">
        <f t="shared" si="4"/>
        <v>-12466.132597754213</v>
      </c>
      <c r="J86" s="68">
        <f>1/(1+Inputs!$B$20)^$A86</f>
        <v>0.72233391480058429</v>
      </c>
      <c r="K86" s="6">
        <f t="shared" si="5"/>
        <v>-9004.7103617589783</v>
      </c>
      <c r="L86" s="6">
        <f>-SUM($I$6:I86)</f>
        <v>294504.75179973879</v>
      </c>
      <c r="M86" s="6">
        <f>-SUM($K$6:K86)</f>
        <v>259955.64678988417</v>
      </c>
    </row>
    <row r="87" spans="1:13" ht="18.2" customHeight="1">
      <c r="A87" s="1">
        <v>81</v>
      </c>
      <c r="B87" s="5">
        <f ca="1">EDATE(Inputs!$B$5,$A87)</f>
        <v>48580</v>
      </c>
      <c r="C87" s="66">
        <f>IF($A87=0,0,Inputs!$B$7)</f>
        <v>1200</v>
      </c>
      <c r="D87" s="6">
        <f>IF($A87=0,-Inputs!$B$4,0)</f>
        <v>0</v>
      </c>
      <c r="E87" s="6">
        <f>IF($A87=0,0,-$C87*Inputs!$B$12/100*Inputs!$B$13*(1+Inputs!$B$19)^$A87)</f>
        <v>-1382.2033879415333</v>
      </c>
      <c r="F87" s="6">
        <f>IF($A87=0,0,-Inputs!$B$10*(1+Inputs!$B$19)^$A87)</f>
        <v>-1067.9588570078172</v>
      </c>
      <c r="G87" s="6">
        <f>IF(AND($A87&gt;0,MOD($A87,12)=0),-Inputs!$B$9*(1+Inputs!$B$19)^$A87,0)</f>
        <v>0</v>
      </c>
      <c r="H87" s="6">
        <f>IF($A87=0,0,-SUMPRODUCT((Maintenance!$A$6:$A$55&lt;&gt;"")*(Maintenance!$I$6:$I$55&lt;&gt;"")*($A87=Maintenance!$I$6:$I$55)*Maintenance!$C$6:$C$55*(1+Inputs!$B$19)^$A87)-SUMPRODUCT((Maintenance!$A$6:$A$55&lt;&gt;"")*(Maintenance!$J$6:$J$55&gt;0)*($A87&gt;Maintenance!$I$6:$I$55)*(IFERROR(MOD($A87-Maintenance!$I$6:$I$55,Maintenance!$J$6:$J$55),1)=0)*Maintenance!$C$6:$C$55*(1+Inputs!$B$19)^$A87))</f>
        <v>0</v>
      </c>
      <c r="I87" s="69">
        <f t="shared" si="4"/>
        <v>-2450.1622449493507</v>
      </c>
      <c r="J87" s="68">
        <f>1/(1+Inputs!$B$20)^$A87</f>
        <v>0.7194029780178145</v>
      </c>
      <c r="K87" s="6">
        <f t="shared" si="5"/>
        <v>-1762.6540156433769</v>
      </c>
      <c r="L87" s="6">
        <f>-SUM($I$6:I87)</f>
        <v>296954.91404468816</v>
      </c>
      <c r="M87" s="6">
        <f>-SUM($K$6:K87)</f>
        <v>261718.30080552754</v>
      </c>
    </row>
    <row r="88" spans="1:13" ht="18.2" customHeight="1">
      <c r="A88" s="1">
        <v>82</v>
      </c>
      <c r="B88" s="5">
        <f ca="1">EDATE(Inputs!$B$5,$A88)</f>
        <v>48611</v>
      </c>
      <c r="C88" s="66">
        <f>IF($A88=0,0,Inputs!$B$7)</f>
        <v>1200</v>
      </c>
      <c r="D88" s="6">
        <f>IF($A88=0,-Inputs!$B$4,0)</f>
        <v>0</v>
      </c>
      <c r="E88" s="6">
        <f>IF($A88=0,0,-$C88*Inputs!$B$12/100*Inputs!$B$13*(1+Inputs!$B$19)^$A88)</f>
        <v>-1385.0505006123146</v>
      </c>
      <c r="F88" s="6">
        <f>IF($A88=0,0,-Inputs!$B$10*(1+Inputs!$B$19)^$A88)</f>
        <v>-1070.1586773961817</v>
      </c>
      <c r="G88" s="6">
        <f>IF(AND($A88&gt;0,MOD($A88,12)=0),-Inputs!$B$9*(1+Inputs!$B$19)^$A88,0)</f>
        <v>0</v>
      </c>
      <c r="H88" s="6">
        <f>IF($A88=0,0,-SUMPRODUCT((Maintenance!$A$6:$A$55&lt;&gt;"")*(Maintenance!$I$6:$I$55&lt;&gt;"")*($A88=Maintenance!$I$6:$I$55)*Maintenance!$C$6:$C$55*(1+Inputs!$B$19)^$A88)-SUMPRODUCT((Maintenance!$A$6:$A$55&lt;&gt;"")*(Maintenance!$J$6:$J$55&gt;0)*($A88&gt;Maintenance!$I$6:$I$55)*(IFERROR(MOD($A88-Maintenance!$I$6:$I$55,Maintenance!$J$6:$J$55),1)=0)*Maintenance!$C$6:$C$55*(1+Inputs!$B$19)^$A88))</f>
        <v>0</v>
      </c>
      <c r="I88" s="69">
        <f t="shared" si="4"/>
        <v>-2455.2091780084966</v>
      </c>
      <c r="J88" s="68">
        <f>1/(1+Inputs!$B$20)^$A88</f>
        <v>0.7164839337825889</v>
      </c>
      <c r="K88" s="6">
        <f t="shared" si="5"/>
        <v>-1759.1179301186442</v>
      </c>
      <c r="L88" s="6">
        <f>-SUM($I$6:I88)</f>
        <v>299410.12322269665</v>
      </c>
      <c r="M88" s="6">
        <f>-SUM($K$6:K88)</f>
        <v>263477.41873564618</v>
      </c>
    </row>
    <row r="89" spans="1:13" ht="18.2" customHeight="1">
      <c r="A89" s="1">
        <v>83</v>
      </c>
      <c r="B89" s="5">
        <f ca="1">EDATE(Inputs!$B$5,$A89)</f>
        <v>48639</v>
      </c>
      <c r="C89" s="66">
        <f>IF($A89=0,0,Inputs!$B$7)</f>
        <v>1200</v>
      </c>
      <c r="D89" s="6">
        <f>IF($A89=0,-Inputs!$B$4,0)</f>
        <v>0</v>
      </c>
      <c r="E89" s="6">
        <f>IF($A89=0,0,-$C89*Inputs!$B$12/100*Inputs!$B$13*(1+Inputs!$B$19)^$A89)</f>
        <v>-1387.9034778690398</v>
      </c>
      <c r="F89" s="6">
        <f>IF($A89=0,0,-Inputs!$B$10*(1+Inputs!$B$19)^$A89)</f>
        <v>-1072.3630290543692</v>
      </c>
      <c r="G89" s="6">
        <f>IF(AND($A89&gt;0,MOD($A89,12)=0),-Inputs!$B$9*(1+Inputs!$B$19)^$A89,0)</f>
        <v>0</v>
      </c>
      <c r="H89" s="6">
        <f>IF($A89=0,0,-SUMPRODUCT((Maintenance!$A$6:$A$55&lt;&gt;"")*(Maintenance!$I$6:$I$55&lt;&gt;"")*($A89=Maintenance!$I$6:$I$55)*Maintenance!$C$6:$C$55*(1+Inputs!$B$19)^$A89)-SUMPRODUCT((Maintenance!$A$6:$A$55&lt;&gt;"")*(Maintenance!$J$6:$J$55&gt;0)*($A89&gt;Maintenance!$I$6:$I$55)*(IFERROR(MOD($A89-Maintenance!$I$6:$I$55,Maintenance!$J$6:$J$55),1)=0)*Maintenance!$C$6:$C$55*(1+Inputs!$B$19)^$A89))</f>
        <v>0</v>
      </c>
      <c r="I89" s="69">
        <f t="shared" si="4"/>
        <v>-2460.266506923409</v>
      </c>
      <c r="J89" s="68">
        <f>1/(1+Inputs!$B$20)^$A89</f>
        <v>0.71357673383979403</v>
      </c>
      <c r="K89" s="6">
        <f t="shared" si="5"/>
        <v>-1755.5889383858453</v>
      </c>
      <c r="L89" s="6">
        <f>-SUM($I$6:I89)</f>
        <v>301870.38972962007</v>
      </c>
      <c r="M89" s="6">
        <f>-SUM($K$6:K89)</f>
        <v>265233.00767403201</v>
      </c>
    </row>
    <row r="90" spans="1:13" ht="18.2" customHeight="1">
      <c r="A90" s="1">
        <v>84</v>
      </c>
      <c r="B90" s="5">
        <f ca="1">EDATE(Inputs!$B$5,$A90)</f>
        <v>48670</v>
      </c>
      <c r="C90" s="66">
        <f>IF($A90=0,0,Inputs!$B$7)</f>
        <v>1200</v>
      </c>
      <c r="D90" s="6">
        <f>IF($A90=0,-Inputs!$B$4,0)</f>
        <v>0</v>
      </c>
      <c r="E90" s="6">
        <f>IF($A90=0,0,-$C90*Inputs!$B$12/100*Inputs!$B$13*(1+Inputs!$B$19)^$A90)</f>
        <v>-1390.7623317917955</v>
      </c>
      <c r="F90" s="6">
        <f>IF($A90=0,0,-Inputs!$B$10*(1+Inputs!$B$19)^$A90)</f>
        <v>-1074.5719213160542</v>
      </c>
      <c r="G90" s="6">
        <f>IF(AND($A90&gt;0,MOD($A90,12)=0),-Inputs!$B$9*(1+Inputs!$B$19)^$A90,0)</f>
        <v>-1485.8571920852517</v>
      </c>
      <c r="H90" s="6">
        <f>IF($A90=0,0,-SUMPRODUCT((Maintenance!$A$6:$A$55&lt;&gt;"")*(Maintenance!$I$6:$I$55&lt;&gt;"")*($A90=Maintenance!$I$6:$I$55)*Maintenance!$C$6:$C$55*(1+Inputs!$B$19)^$A90)-SUMPRODUCT((Maintenance!$A$6:$A$55&lt;&gt;"")*(Maintenance!$J$6:$J$55&gt;0)*($A90&gt;Maintenance!$I$6:$I$55)*(IFERROR(MOD($A90-Maintenance!$I$6:$I$55,Maintenance!$J$6:$J$55),1)=0)*Maintenance!$C$6:$C$55*(1+Inputs!$B$19)^$A90))</f>
        <v>0</v>
      </c>
      <c r="I90" s="69">
        <f t="shared" si="4"/>
        <v>-3951.1914451931016</v>
      </c>
      <c r="J90" s="68">
        <f>1/(1+Inputs!$B$20)^$A90</f>
        <v>0.71068133013011603</v>
      </c>
      <c r="K90" s="6">
        <f t="shared" si="5"/>
        <v>-2808.037991868569</v>
      </c>
      <c r="L90" s="6">
        <f>-SUM($I$6:I90)</f>
        <v>305821.58117481315</v>
      </c>
      <c r="M90" s="6">
        <f>-SUM($K$6:K90)</f>
        <v>268041.04566590057</v>
      </c>
    </row>
    <row r="91" spans="1:13" ht="18.2" customHeight="1">
      <c r="A91" s="1">
        <v>85</v>
      </c>
      <c r="B91" s="5">
        <f ca="1">EDATE(Inputs!$B$5,$A91)</f>
        <v>48700</v>
      </c>
      <c r="C91" s="66">
        <f>IF($A91=0,0,Inputs!$B$7)</f>
        <v>1200</v>
      </c>
      <c r="D91" s="6">
        <f>IF($A91=0,-Inputs!$B$4,0)</f>
        <v>0</v>
      </c>
      <c r="E91" s="6">
        <f>IF($A91=0,0,-$C91*Inputs!$B$12/100*Inputs!$B$13*(1+Inputs!$B$19)^$A91)</f>
        <v>-1393.627074485551</v>
      </c>
      <c r="F91" s="6">
        <f>IF($A91=0,0,-Inputs!$B$10*(1+Inputs!$B$19)^$A91)</f>
        <v>-1076.7853635341353</v>
      </c>
      <c r="G91" s="6">
        <f>IF(AND($A91&gt;0,MOD($A91,12)=0),-Inputs!$B$9*(1+Inputs!$B$19)^$A91,0)</f>
        <v>0</v>
      </c>
      <c r="H91" s="6">
        <f>IF($A91=0,0,-SUMPRODUCT((Maintenance!$A$6:$A$55&lt;&gt;"")*(Maintenance!$I$6:$I$55&lt;&gt;"")*($A91=Maintenance!$I$6:$I$55)*Maintenance!$C$6:$C$55*(1+Inputs!$B$19)^$A91)-SUMPRODUCT((Maintenance!$A$6:$A$55&lt;&gt;"")*(Maintenance!$J$6:$J$55&gt;0)*($A91&gt;Maintenance!$I$6:$I$55)*(IFERROR(MOD($A91-Maintenance!$I$6:$I$55,Maintenance!$J$6:$J$55),1)=0)*Maintenance!$C$6:$C$55*(1+Inputs!$B$19)^$A91))</f>
        <v>0</v>
      </c>
      <c r="I91" s="69">
        <f t="shared" si="4"/>
        <v>-2470.4124380196863</v>
      </c>
      <c r="J91" s="68">
        <f>1/(1+Inputs!$B$20)^$A91</f>
        <v>0.70779767478924616</v>
      </c>
      <c r="K91" s="6">
        <f t="shared" si="5"/>
        <v>-1748.5521794007666</v>
      </c>
      <c r="L91" s="6">
        <f>-SUM($I$6:I91)</f>
        <v>308291.99361283286</v>
      </c>
      <c r="M91" s="6">
        <f>-SUM($K$6:K91)</f>
        <v>269789.59784530132</v>
      </c>
    </row>
    <row r="92" spans="1:13" ht="18.2" customHeight="1">
      <c r="A92" s="1">
        <v>86</v>
      </c>
      <c r="B92" s="5">
        <f ca="1">EDATE(Inputs!$B$5,$A92)</f>
        <v>48731</v>
      </c>
      <c r="C92" s="66">
        <f>IF($A92=0,0,Inputs!$B$7)</f>
        <v>1200</v>
      </c>
      <c r="D92" s="6">
        <f>IF($A92=0,-Inputs!$B$4,0)</f>
        <v>0</v>
      </c>
      <c r="E92" s="6">
        <f>IF($A92=0,0,-$C92*Inputs!$B$12/100*Inputs!$B$13*(1+Inputs!$B$19)^$A92)</f>
        <v>-1396.4977180802111</v>
      </c>
      <c r="F92" s="6">
        <f>IF($A92=0,0,-Inputs!$B$10*(1+Inputs!$B$19)^$A92)</f>
        <v>-1079.0033650807786</v>
      </c>
      <c r="G92" s="6">
        <f>IF(AND($A92&gt;0,MOD($A92,12)=0),-Inputs!$B$9*(1+Inputs!$B$19)^$A92,0)</f>
        <v>0</v>
      </c>
      <c r="H92" s="6">
        <f>IF($A92=0,0,-SUMPRODUCT((Maintenance!$A$6:$A$55&lt;&gt;"")*(Maintenance!$I$6:$I$55&lt;&gt;"")*($A92=Maintenance!$I$6:$I$55)*Maintenance!$C$6:$C$55*(1+Inputs!$B$19)^$A92)-SUMPRODUCT((Maintenance!$A$6:$A$55&lt;&gt;"")*(Maintenance!$J$6:$J$55&gt;0)*($A92&gt;Maintenance!$I$6:$I$55)*(IFERROR(MOD($A92-Maintenance!$I$6:$I$55,Maintenance!$J$6:$J$55),1)=0)*Maintenance!$C$6:$C$55*(1+Inputs!$B$19)^$A92))</f>
        <v>0</v>
      </c>
      <c r="I92" s="69">
        <f t="shared" si="4"/>
        <v>-2475.5010831609898</v>
      </c>
      <c r="J92" s="68">
        <f>1/(1+Inputs!$B$20)^$A92</f>
        <v>0.70492572014708943</v>
      </c>
      <c r="K92" s="6">
        <f t="shared" si="5"/>
        <v>-1745.0443837721607</v>
      </c>
      <c r="L92" s="6">
        <f>-SUM($I$6:I92)</f>
        <v>310767.49469599384</v>
      </c>
      <c r="M92" s="6">
        <f>-SUM($K$6:K92)</f>
        <v>271534.64222907351</v>
      </c>
    </row>
    <row r="93" spans="1:13" ht="18.2" customHeight="1">
      <c r="A93" s="1">
        <v>87</v>
      </c>
      <c r="B93" s="5">
        <f ca="1">EDATE(Inputs!$B$5,$A93)</f>
        <v>48761</v>
      </c>
      <c r="C93" s="66">
        <f>IF($A93=0,0,Inputs!$B$7)</f>
        <v>1200</v>
      </c>
      <c r="D93" s="6">
        <f>IF($A93=0,-Inputs!$B$4,0)</f>
        <v>0</v>
      </c>
      <c r="E93" s="6">
        <f>IF($A93=0,0,-$C93*Inputs!$B$12/100*Inputs!$B$13*(1+Inputs!$B$19)^$A93)</f>
        <v>-1399.3742747306655</v>
      </c>
      <c r="F93" s="6">
        <f>IF($A93=0,0,-Inputs!$B$10*(1+Inputs!$B$19)^$A93)</f>
        <v>-1081.2259353474544</v>
      </c>
      <c r="G93" s="6">
        <f>IF(AND($A93&gt;0,MOD($A93,12)=0),-Inputs!$B$9*(1+Inputs!$B$19)^$A93,0)</f>
        <v>0</v>
      </c>
      <c r="H93" s="6">
        <f>IF($A93=0,0,-SUMPRODUCT((Maintenance!$A$6:$A$55&lt;&gt;"")*(Maintenance!$I$6:$I$55&lt;&gt;"")*($A93=Maintenance!$I$6:$I$55)*Maintenance!$C$6:$C$55*(1+Inputs!$B$19)^$A93)-SUMPRODUCT((Maintenance!$A$6:$A$55&lt;&gt;"")*(Maintenance!$J$6:$J$55&gt;0)*($A93&gt;Maintenance!$I$6:$I$55)*(IFERROR(MOD($A93-Maintenance!$I$6:$I$55,Maintenance!$J$6:$J$55),1)=0)*Maintenance!$C$6:$C$55*(1+Inputs!$B$19)^$A93))</f>
        <v>0</v>
      </c>
      <c r="I93" s="69">
        <f t="shared" si="4"/>
        <v>-2480.6002100781197</v>
      </c>
      <c r="J93" s="68">
        <f>1/(1+Inputs!$B$20)^$A93</f>
        <v>0.70206541872697692</v>
      </c>
      <c r="K93" s="6">
        <f t="shared" si="5"/>
        <v>-1741.5436251827221</v>
      </c>
      <c r="L93" s="6">
        <f>-SUM($I$6:I93)</f>
        <v>313248.09490607196</v>
      </c>
      <c r="M93" s="6">
        <f>-SUM($K$6:K93)</f>
        <v>273276.18585425621</v>
      </c>
    </row>
    <row r="94" spans="1:13" ht="18.2" customHeight="1">
      <c r="A94" s="1">
        <v>88</v>
      </c>
      <c r="B94" s="5">
        <f ca="1">EDATE(Inputs!$B$5,$A94)</f>
        <v>48792</v>
      </c>
      <c r="C94" s="66">
        <f>IF($A94=0,0,Inputs!$B$7)</f>
        <v>1200</v>
      </c>
      <c r="D94" s="6">
        <f>IF($A94=0,-Inputs!$B$4,0)</f>
        <v>0</v>
      </c>
      <c r="E94" s="6">
        <f>IF($A94=0,0,-$C94*Inputs!$B$12/100*Inputs!$B$13*(1+Inputs!$B$19)^$A94)</f>
        <v>-1402.2567566168407</v>
      </c>
      <c r="F94" s="6">
        <f>IF($A94=0,0,-Inputs!$B$10*(1+Inputs!$B$19)^$A94)</f>
        <v>-1083.4530837449777</v>
      </c>
      <c r="G94" s="6">
        <f>IF(AND($A94&gt;0,MOD($A94,12)=0),-Inputs!$B$9*(1+Inputs!$B$19)^$A94,0)</f>
        <v>0</v>
      </c>
      <c r="H94" s="6">
        <f>IF($A94=0,0,-SUMPRODUCT((Maintenance!$A$6:$A$55&lt;&gt;"")*(Maintenance!$I$6:$I$55&lt;&gt;"")*($A94=Maintenance!$I$6:$I$55)*Maintenance!$C$6:$C$55*(1+Inputs!$B$19)^$A94)-SUMPRODUCT((Maintenance!$A$6:$A$55&lt;&gt;"")*(Maintenance!$J$6:$J$55&gt;0)*($A94&gt;Maintenance!$I$6:$I$55)*(IFERROR(MOD($A94-Maintenance!$I$6:$I$55,Maintenance!$J$6:$J$55),1)=0)*Maintenance!$C$6:$C$55*(1+Inputs!$B$19)^$A94))</f>
        <v>0</v>
      </c>
      <c r="I94" s="69">
        <f t="shared" si="4"/>
        <v>-2485.7098403618184</v>
      </c>
      <c r="J94" s="68">
        <f>1/(1+Inputs!$B$20)^$A94</f>
        <v>0.69921672324488016</v>
      </c>
      <c r="K94" s="6">
        <f t="shared" si="5"/>
        <v>-1738.0498895153448</v>
      </c>
      <c r="L94" s="6">
        <f>-SUM($I$6:I94)</f>
        <v>315733.8047464338</v>
      </c>
      <c r="M94" s="6">
        <f>-SUM($K$6:K94)</f>
        <v>275014.23574377154</v>
      </c>
    </row>
    <row r="95" spans="1:13" ht="18.2" customHeight="1">
      <c r="A95" s="1">
        <v>89</v>
      </c>
      <c r="B95" s="5">
        <f ca="1">EDATE(Inputs!$B$5,$A95)</f>
        <v>48823</v>
      </c>
      <c r="C95" s="66">
        <f>IF($A95=0,0,Inputs!$B$7)</f>
        <v>1200</v>
      </c>
      <c r="D95" s="6">
        <f>IF($A95=0,-Inputs!$B$4,0)</f>
        <v>0</v>
      </c>
      <c r="E95" s="6">
        <f>IF($A95=0,0,-$C95*Inputs!$B$12/100*Inputs!$B$13*(1+Inputs!$B$19)^$A95)</f>
        <v>-1405.1451759437523</v>
      </c>
      <c r="F95" s="6">
        <f>IF($A95=0,0,-Inputs!$B$10*(1+Inputs!$B$19)^$A95)</f>
        <v>-1085.6848197035488</v>
      </c>
      <c r="G95" s="6">
        <f>IF(AND($A95&gt;0,MOD($A95,12)=0),-Inputs!$B$9*(1+Inputs!$B$19)^$A95,0)</f>
        <v>0</v>
      </c>
      <c r="H95" s="6">
        <f>IF($A95=0,0,-SUMPRODUCT((Maintenance!$A$6:$A$55&lt;&gt;"")*(Maintenance!$I$6:$I$55&lt;&gt;"")*($A95=Maintenance!$I$6:$I$55)*Maintenance!$C$6:$C$55*(1+Inputs!$B$19)^$A95)-SUMPRODUCT((Maintenance!$A$6:$A$55&lt;&gt;"")*(Maintenance!$J$6:$J$55&gt;0)*($A95&gt;Maintenance!$I$6:$I$55)*(IFERROR(MOD($A95-Maintenance!$I$6:$I$55,Maintenance!$J$6:$J$55),1)=0)*Maintenance!$C$6:$C$55*(1+Inputs!$B$19)^$A95))</f>
        <v>0</v>
      </c>
      <c r="I95" s="69">
        <f t="shared" si="4"/>
        <v>-2490.8299956473011</v>
      </c>
      <c r="J95" s="68">
        <f>1/(1+Inputs!$B$20)^$A95</f>
        <v>0.69637958660863053</v>
      </c>
      <c r="K95" s="6">
        <f t="shared" si="5"/>
        <v>-1734.5631626812444</v>
      </c>
      <c r="L95" s="6">
        <f>-SUM($I$6:I95)</f>
        <v>318224.63474208111</v>
      </c>
      <c r="M95" s="6">
        <f>-SUM($K$6:K95)</f>
        <v>276748.79890645278</v>
      </c>
    </row>
    <row r="96" spans="1:13" ht="18.2" customHeight="1">
      <c r="A96" s="1">
        <v>90</v>
      </c>
      <c r="B96" s="5">
        <f ca="1">EDATE(Inputs!$B$5,$A96)</f>
        <v>48853</v>
      </c>
      <c r="C96" s="66">
        <f>IF($A96=0,0,Inputs!$B$7)</f>
        <v>1200</v>
      </c>
      <c r="D96" s="6">
        <f>IF($A96=0,-Inputs!$B$4,0)</f>
        <v>0</v>
      </c>
      <c r="E96" s="6">
        <f>IF($A96=0,0,-$C96*Inputs!$B$12/100*Inputs!$B$13*(1+Inputs!$B$19)^$A96)</f>
        <v>-1408.0395449415555</v>
      </c>
      <c r="F96" s="6">
        <f>IF($A96=0,0,-Inputs!$B$10*(1+Inputs!$B$19)^$A96)</f>
        <v>-1087.9211526727918</v>
      </c>
      <c r="G96" s="6">
        <f>IF(AND($A96&gt;0,MOD($A96,12)=0),-Inputs!$B$9*(1+Inputs!$B$19)^$A96,0)</f>
        <v>0</v>
      </c>
      <c r="H96" s="6">
        <f>IF($A96=0,0,-SUMPRODUCT((Maintenance!$A$6:$A$55&lt;&gt;"")*(Maintenance!$I$6:$I$55&lt;&gt;"")*($A96=Maintenance!$I$6:$I$55)*Maintenance!$C$6:$C$55*(1+Inputs!$B$19)^$A96)-SUMPRODUCT((Maintenance!$A$6:$A$55&lt;&gt;"")*(Maintenance!$J$6:$J$55&gt;0)*($A96&gt;Maintenance!$I$6:$I$55)*(IFERROR(MOD($A96-Maintenance!$I$6:$I$55,Maintenance!$J$6:$J$55),1)=0)*Maintenance!$C$6:$C$55*(1+Inputs!$B$19)^$A96))</f>
        <v>0</v>
      </c>
      <c r="I96" s="69">
        <f t="shared" si="4"/>
        <v>-2495.9606976143473</v>
      </c>
      <c r="J96" s="68">
        <f>1/(1+Inputs!$B$20)^$A96</f>
        <v>0.69355396191714047</v>
      </c>
      <c r="K96" s="6">
        <f t="shared" si="5"/>
        <v>-1731.0834306199004</v>
      </c>
      <c r="L96" s="6">
        <f>-SUM($I$6:I96)</f>
        <v>320720.59543969546</v>
      </c>
      <c r="M96" s="6">
        <f>-SUM($K$6:K96)</f>
        <v>278479.88233707269</v>
      </c>
    </row>
    <row r="97" spans="1:13" ht="18.2" customHeight="1">
      <c r="A97" s="1">
        <v>91</v>
      </c>
      <c r="B97" s="5">
        <f ca="1">EDATE(Inputs!$B$5,$A97)</f>
        <v>48884</v>
      </c>
      <c r="C97" s="66">
        <f>IF($A97=0,0,Inputs!$B$7)</f>
        <v>1200</v>
      </c>
      <c r="D97" s="6">
        <f>IF($A97=0,-Inputs!$B$4,0)</f>
        <v>0</v>
      </c>
      <c r="E97" s="6">
        <f>IF($A97=0,0,-$C97*Inputs!$B$12/100*Inputs!$B$13*(1+Inputs!$B$19)^$A97)</f>
        <v>-1410.9398758655991</v>
      </c>
      <c r="F97" s="6">
        <f>IF($A97=0,0,-Inputs!$B$10*(1+Inputs!$B$19)^$A97)</f>
        <v>-1090.1620921217964</v>
      </c>
      <c r="G97" s="6">
        <f>IF(AND($A97&gt;0,MOD($A97,12)=0),-Inputs!$B$9*(1+Inputs!$B$19)^$A97,0)</f>
        <v>0</v>
      </c>
      <c r="H97" s="6">
        <f>IF($A97=0,0,-SUMPRODUCT((Maintenance!$A$6:$A$55&lt;&gt;"")*(Maintenance!$I$6:$I$55&lt;&gt;"")*($A97=Maintenance!$I$6:$I$55)*Maintenance!$C$6:$C$55*(1+Inputs!$B$19)^$A97)-SUMPRODUCT((Maintenance!$A$6:$A$55&lt;&gt;"")*(Maintenance!$J$6:$J$55&gt;0)*($A97&gt;Maintenance!$I$6:$I$55)*(IFERROR(MOD($A97-Maintenance!$I$6:$I$55,Maintenance!$J$6:$J$55),1)=0)*Maintenance!$C$6:$C$55*(1+Inputs!$B$19)^$A97))</f>
        <v>0</v>
      </c>
      <c r="I97" s="69">
        <f t="shared" si="4"/>
        <v>-2501.1019679873953</v>
      </c>
      <c r="J97" s="68">
        <f>1/(1+Inputs!$B$20)^$A97</f>
        <v>0.69073980245962718</v>
      </c>
      <c r="K97" s="6">
        <f t="shared" si="5"/>
        <v>-1727.6106792989981</v>
      </c>
      <c r="L97" s="6">
        <f>-SUM($I$6:I97)</f>
        <v>323221.69740768283</v>
      </c>
      <c r="M97" s="6">
        <f>-SUM($K$6:K97)</f>
        <v>280207.49301637168</v>
      </c>
    </row>
    <row r="98" spans="1:13" ht="18.2" customHeight="1">
      <c r="A98" s="1">
        <v>92</v>
      </c>
      <c r="B98" s="5">
        <f ca="1">EDATE(Inputs!$B$5,$A98)</f>
        <v>48914</v>
      </c>
      <c r="C98" s="66">
        <f>IF($A98=0,0,Inputs!$B$7)</f>
        <v>1200</v>
      </c>
      <c r="D98" s="6">
        <f>IF($A98=0,-Inputs!$B$4,0)</f>
        <v>0</v>
      </c>
      <c r="E98" s="6">
        <f>IF($A98=0,0,-$C98*Inputs!$B$12/100*Inputs!$B$13*(1+Inputs!$B$19)^$A98)</f>
        <v>-1413.8461809964745</v>
      </c>
      <c r="F98" s="6">
        <f>IF($A98=0,0,-Inputs!$B$10*(1+Inputs!$B$19)^$A98)</f>
        <v>-1092.4076475391564</v>
      </c>
      <c r="G98" s="6">
        <f>IF(AND($A98&gt;0,MOD($A98,12)=0),-Inputs!$B$9*(1+Inputs!$B$19)^$A98,0)</f>
        <v>0</v>
      </c>
      <c r="H98" s="6">
        <f>IF($A98=0,0,-SUMPRODUCT((Maintenance!$A$6:$A$55&lt;&gt;"")*(Maintenance!$I$6:$I$55&lt;&gt;"")*($A98=Maintenance!$I$6:$I$55)*Maintenance!$C$6:$C$55*(1+Inputs!$B$19)^$A98)-SUMPRODUCT((Maintenance!$A$6:$A$55&lt;&gt;"")*(Maintenance!$J$6:$J$55&gt;0)*($A98&gt;Maintenance!$I$6:$I$55)*(IFERROR(MOD($A98-Maintenance!$I$6:$I$55,Maintenance!$J$6:$J$55),1)=0)*Maintenance!$C$6:$C$55*(1+Inputs!$B$19)^$A98))</f>
        <v>0</v>
      </c>
      <c r="I98" s="69">
        <f t="shared" si="4"/>
        <v>-2506.2538285356309</v>
      </c>
      <c r="J98" s="68">
        <f>1/(1+Inputs!$B$20)^$A98</f>
        <v>0.68793706171484148</v>
      </c>
      <c r="K98" s="6">
        <f t="shared" si="5"/>
        <v>-1724.144894714374</v>
      </c>
      <c r="L98" s="6">
        <f>-SUM($I$6:I98)</f>
        <v>325727.95123621845</v>
      </c>
      <c r="M98" s="6">
        <f>-SUM($K$6:K98)</f>
        <v>281931.63791108603</v>
      </c>
    </row>
    <row r="99" spans="1:13" ht="18.2" customHeight="1">
      <c r="A99" s="1">
        <v>93</v>
      </c>
      <c r="B99" s="5">
        <f ca="1">EDATE(Inputs!$B$5,$A99)</f>
        <v>48945</v>
      </c>
      <c r="C99" s="66">
        <f>IF($A99=0,0,Inputs!$B$7)</f>
        <v>1200</v>
      </c>
      <c r="D99" s="6">
        <f>IF($A99=0,-Inputs!$B$4,0)</f>
        <v>0</v>
      </c>
      <c r="E99" s="6">
        <f>IF($A99=0,0,-$C99*Inputs!$B$12/100*Inputs!$B$13*(1+Inputs!$B$19)^$A99)</f>
        <v>-1416.7584726400694</v>
      </c>
      <c r="F99" s="6">
        <f>IF($A99=0,0,-Inputs!$B$10*(1+Inputs!$B$19)^$A99)</f>
        <v>-1094.657828433011</v>
      </c>
      <c r="G99" s="6">
        <f>IF(AND($A99&gt;0,MOD($A99,12)=0),-Inputs!$B$9*(1+Inputs!$B$19)^$A99,0)</f>
        <v>0</v>
      </c>
      <c r="H99" s="6">
        <f>IF($A99=0,0,-SUMPRODUCT((Maintenance!$A$6:$A$55&lt;&gt;"")*(Maintenance!$I$6:$I$55&lt;&gt;"")*($A99=Maintenance!$I$6:$I$55)*Maintenance!$C$6:$C$55*(1+Inputs!$B$19)^$A99)-SUMPRODUCT((Maintenance!$A$6:$A$55&lt;&gt;"")*(Maintenance!$J$6:$J$55&gt;0)*($A99&gt;Maintenance!$I$6:$I$55)*(IFERROR(MOD($A99-Maintenance!$I$6:$I$55,Maintenance!$J$6:$J$55),1)=0)*Maintenance!$C$6:$C$55*(1+Inputs!$B$19)^$A99))</f>
        <v>0</v>
      </c>
      <c r="I99" s="69">
        <f t="shared" si="4"/>
        <v>-2511.4163010730804</v>
      </c>
      <c r="J99" s="68">
        <f>1/(1+Inputs!$B$20)^$A99</f>
        <v>0.68514569335029873</v>
      </c>
      <c r="K99" s="6">
        <f t="shared" si="5"/>
        <v>-1720.6860628899583</v>
      </c>
      <c r="L99" s="6">
        <f>-SUM($I$6:I99)</f>
        <v>328239.36753729155</v>
      </c>
      <c r="M99" s="6">
        <f>-SUM($K$6:K99)</f>
        <v>283652.32397397596</v>
      </c>
    </row>
    <row r="100" spans="1:13" ht="18.2" customHeight="1">
      <c r="A100" s="1">
        <v>94</v>
      </c>
      <c r="B100" s="5">
        <f ca="1">EDATE(Inputs!$B$5,$A100)</f>
        <v>48976</v>
      </c>
      <c r="C100" s="66">
        <f>IF($A100=0,0,Inputs!$B$7)</f>
        <v>1200</v>
      </c>
      <c r="D100" s="6">
        <f>IF($A100=0,-Inputs!$B$4,0)</f>
        <v>0</v>
      </c>
      <c r="E100" s="6">
        <f>IF($A100=0,0,-$C100*Inputs!$B$12/100*Inputs!$B$13*(1+Inputs!$B$19)^$A100)</f>
        <v>-1419.6767631276205</v>
      </c>
      <c r="F100" s="6">
        <f>IF($A100=0,0,-Inputs!$B$10*(1+Inputs!$B$19)^$A100)</f>
        <v>-1096.9126443310845</v>
      </c>
      <c r="G100" s="6">
        <f>IF(AND($A100&gt;0,MOD($A100,12)=0),-Inputs!$B$9*(1+Inputs!$B$19)^$A100,0)</f>
        <v>0</v>
      </c>
      <c r="H100" s="6">
        <f>IF($A100=0,0,-SUMPRODUCT((Maintenance!$A$6:$A$55&lt;&gt;"")*(Maintenance!$I$6:$I$55&lt;&gt;"")*($A100=Maintenance!$I$6:$I$55)*Maintenance!$C$6:$C$55*(1+Inputs!$B$19)^$A100)-SUMPRODUCT((Maintenance!$A$6:$A$55&lt;&gt;"")*(Maintenance!$J$6:$J$55&gt;0)*($A100&gt;Maintenance!$I$6:$I$55)*(IFERROR(MOD($A100-Maintenance!$I$6:$I$55,Maintenance!$J$6:$J$55),1)=0)*Maintenance!$C$6:$C$55*(1+Inputs!$B$19)^$A100))</f>
        <v>0</v>
      </c>
      <c r="I100" s="69">
        <f t="shared" si="4"/>
        <v>-2516.589407458705</v>
      </c>
      <c r="J100" s="68">
        <f>1/(1+Inputs!$B$20)^$A100</f>
        <v>0.68236565122151249</v>
      </c>
      <c r="K100" s="6">
        <f t="shared" si="5"/>
        <v>-1717.2341698777195</v>
      </c>
      <c r="L100" s="6">
        <f>-SUM($I$6:I100)</f>
        <v>330755.95694475027</v>
      </c>
      <c r="M100" s="6">
        <f>-SUM($K$6:K100)</f>
        <v>285369.55814385368</v>
      </c>
    </row>
    <row r="101" spans="1:13" ht="18.2" customHeight="1">
      <c r="A101" s="1">
        <v>95</v>
      </c>
      <c r="B101" s="5">
        <f ca="1">EDATE(Inputs!$B$5,$A101)</f>
        <v>49004</v>
      </c>
      <c r="C101" s="66">
        <f>IF($A101=0,0,Inputs!$B$7)</f>
        <v>1200</v>
      </c>
      <c r="D101" s="6">
        <f>IF($A101=0,-Inputs!$B$4,0)</f>
        <v>0</v>
      </c>
      <c r="E101" s="6">
        <f>IF($A101=0,0,-$C101*Inputs!$B$12/100*Inputs!$B$13*(1+Inputs!$B$19)^$A101)</f>
        <v>-1422.6010648157639</v>
      </c>
      <c r="F101" s="6">
        <f>IF($A101=0,0,-Inputs!$B$10*(1+Inputs!$B$19)^$A101)</f>
        <v>-1099.1721047807271</v>
      </c>
      <c r="G101" s="6">
        <f>IF(AND($A101&gt;0,MOD($A101,12)=0),-Inputs!$B$9*(1+Inputs!$B$19)^$A101,0)</f>
        <v>0</v>
      </c>
      <c r="H101" s="6">
        <f>IF($A101=0,0,-SUMPRODUCT((Maintenance!$A$6:$A$55&lt;&gt;"")*(Maintenance!$I$6:$I$55&lt;&gt;"")*($A101=Maintenance!$I$6:$I$55)*Maintenance!$C$6:$C$55*(1+Inputs!$B$19)^$A101)-SUMPRODUCT((Maintenance!$A$6:$A$55&lt;&gt;"")*(Maintenance!$J$6:$J$55&gt;0)*($A101&gt;Maintenance!$I$6:$I$55)*(IFERROR(MOD($A101-Maintenance!$I$6:$I$55,Maintenance!$J$6:$J$55),1)=0)*Maintenance!$C$6:$C$55*(1+Inputs!$B$19)^$A101))</f>
        <v>0</v>
      </c>
      <c r="I101" s="69">
        <f t="shared" si="4"/>
        <v>-2521.7731695964912</v>
      </c>
      <c r="J101" s="68">
        <f>1/(1+Inputs!$B$20)^$A101</f>
        <v>0.67959688937123164</v>
      </c>
      <c r="K101" s="6">
        <f t="shared" si="5"/>
        <v>-1713.7892017576069</v>
      </c>
      <c r="L101" s="6">
        <f>-SUM($I$6:I101)</f>
        <v>333277.73011434678</v>
      </c>
      <c r="M101" s="6">
        <f>-SUM($K$6:K101)</f>
        <v>287083.34734561126</v>
      </c>
    </row>
    <row r="102" spans="1:13" ht="18.2" customHeight="1">
      <c r="A102" s="1">
        <v>96</v>
      </c>
      <c r="B102" s="5">
        <f ca="1">EDATE(Inputs!$B$5,$A102)</f>
        <v>49035</v>
      </c>
      <c r="C102" s="66">
        <f>IF($A102=0,0,Inputs!$B$7)</f>
        <v>1200</v>
      </c>
      <c r="D102" s="6">
        <f>IF($A102=0,-Inputs!$B$4,0)</f>
        <v>0</v>
      </c>
      <c r="E102" s="6">
        <f>IF($A102=0,0,-$C102*Inputs!$B$12/100*Inputs!$B$13*(1+Inputs!$B$19)^$A102)</f>
        <v>-1425.5313900865881</v>
      </c>
      <c r="F102" s="6">
        <f>IF($A102=0,0,-Inputs!$B$10*(1+Inputs!$B$19)^$A102)</f>
        <v>-1101.4362193489535</v>
      </c>
      <c r="G102" s="6">
        <f>IF(AND($A102&gt;0,MOD($A102,12)=0),-Inputs!$B$9*(1+Inputs!$B$19)^$A102,0)</f>
        <v>-1523.0036218873804</v>
      </c>
      <c r="H102" s="6">
        <f>IF($A102=0,0,-SUMPRODUCT((Maintenance!$A$6:$A$55&lt;&gt;"")*(Maintenance!$I$6:$I$55&lt;&gt;"")*($A102=Maintenance!$I$6:$I$55)*Maintenance!$C$6:$C$55*(1+Inputs!$B$19)^$A102)-SUMPRODUCT((Maintenance!$A$6:$A$55&lt;&gt;"")*(Maintenance!$J$6:$J$55&gt;0)*($A102&gt;Maintenance!$I$6:$I$55)*(IFERROR(MOD($A102-Maintenance!$I$6:$I$55,Maintenance!$J$6:$J$55),1)=0)*Maintenance!$C$6:$C$55*(1+Inputs!$B$19)^$A102))</f>
        <v>0</v>
      </c>
      <c r="I102" s="69">
        <f t="shared" ref="I102:I126" si="6">SUM(D102:H102)</f>
        <v>-4049.971231322922</v>
      </c>
      <c r="J102" s="68">
        <f>1/(1+Inputs!$B$20)^$A102</f>
        <v>0.67683936202868122</v>
      </c>
      <c r="K102" s="6">
        <f t="shared" ref="K102:K126" si="7">I102*J102</f>
        <v>-2741.179944443119</v>
      </c>
      <c r="L102" s="6">
        <f>-SUM($I$6:I102)</f>
        <v>337327.70134566969</v>
      </c>
      <c r="M102" s="6">
        <f>-SUM($K$6:K102)</f>
        <v>289824.52729005436</v>
      </c>
    </row>
    <row r="103" spans="1:13" ht="18.2" customHeight="1">
      <c r="A103" s="1">
        <v>97</v>
      </c>
      <c r="B103" s="5">
        <f ca="1">EDATE(Inputs!$B$5,$A103)</f>
        <v>49065</v>
      </c>
      <c r="C103" s="66">
        <f>IF($A103=0,0,Inputs!$B$7)</f>
        <v>1200</v>
      </c>
      <c r="D103" s="6">
        <f>IF($A103=0,-Inputs!$B$4,0)</f>
        <v>0</v>
      </c>
      <c r="E103" s="6">
        <f>IF($A103=0,0,-$C103*Inputs!$B$12/100*Inputs!$B$13*(1+Inputs!$B$19)^$A103)</f>
        <v>-1428.4677513476879</v>
      </c>
      <c r="F103" s="6">
        <f>IF($A103=0,0,-Inputs!$B$10*(1+Inputs!$B$19)^$A103)</f>
        <v>-1103.7049976224871</v>
      </c>
      <c r="G103" s="6">
        <f>IF(AND($A103&gt;0,MOD($A103,12)=0),-Inputs!$B$9*(1+Inputs!$B$19)^$A103,0)</f>
        <v>0</v>
      </c>
      <c r="H103" s="6">
        <f>IF($A103=0,0,-SUMPRODUCT((Maintenance!$A$6:$A$55&lt;&gt;"")*(Maintenance!$I$6:$I$55&lt;&gt;"")*($A103=Maintenance!$I$6:$I$55)*Maintenance!$C$6:$C$55*(1+Inputs!$B$19)^$A103)-SUMPRODUCT((Maintenance!$A$6:$A$55&lt;&gt;"")*(Maintenance!$J$6:$J$55&gt;0)*($A103&gt;Maintenance!$I$6:$I$55)*(IFERROR(MOD($A103-Maintenance!$I$6:$I$55,Maintenance!$J$6:$J$55),1)=0)*Maintenance!$C$6:$C$55*(1+Inputs!$B$19)^$A103))</f>
        <v>0</v>
      </c>
      <c r="I103" s="69">
        <f t="shared" si="6"/>
        <v>-2532.1727489701752</v>
      </c>
      <c r="J103" s="68">
        <f>1/(1+Inputs!$B$20)^$A103</f>
        <v>0.67409302360880508</v>
      </c>
      <c r="K103" s="6">
        <f t="shared" si="7"/>
        <v>-1706.9199846531251</v>
      </c>
      <c r="L103" s="6">
        <f>-SUM($I$6:I103)</f>
        <v>339859.87409463985</v>
      </c>
      <c r="M103" s="6">
        <f>-SUM($K$6:K103)</f>
        <v>291531.44727470749</v>
      </c>
    </row>
    <row r="104" spans="1:13" ht="18.2" customHeight="1">
      <c r="A104" s="1">
        <v>98</v>
      </c>
      <c r="B104" s="5">
        <f ca="1">EDATE(Inputs!$B$5,$A104)</f>
        <v>49096</v>
      </c>
      <c r="C104" s="66">
        <f>IF($A104=0,0,Inputs!$B$7)</f>
        <v>1200</v>
      </c>
      <c r="D104" s="6">
        <f>IF($A104=0,-Inputs!$B$4,0)</f>
        <v>0</v>
      </c>
      <c r="E104" s="6">
        <f>IF($A104=0,0,-$C104*Inputs!$B$12/100*Inputs!$B$13*(1+Inputs!$B$19)^$A104)</f>
        <v>-1431.4101610322145</v>
      </c>
      <c r="F104" s="6">
        <f>IF($A104=0,0,-Inputs!$B$10*(1+Inputs!$B$19)^$A104)</f>
        <v>-1105.9784492077965</v>
      </c>
      <c r="G104" s="6">
        <f>IF(AND($A104&gt;0,MOD($A104,12)=0),-Inputs!$B$9*(1+Inputs!$B$19)^$A104,0)</f>
        <v>0</v>
      </c>
      <c r="H104" s="6">
        <f>IF($A104=0,0,-SUMPRODUCT((Maintenance!$A$6:$A$55&lt;&gt;"")*(Maintenance!$I$6:$I$55&lt;&gt;"")*($A104=Maintenance!$I$6:$I$55)*Maintenance!$C$6:$C$55*(1+Inputs!$B$19)^$A104)-SUMPRODUCT((Maintenance!$A$6:$A$55&lt;&gt;"")*(Maintenance!$J$6:$J$55&gt;0)*($A104&gt;Maintenance!$I$6:$I$55)*(IFERROR(MOD($A104-Maintenance!$I$6:$I$55,Maintenance!$J$6:$J$55),1)=0)*Maintenance!$C$6:$C$55*(1+Inputs!$B$19)^$A104))</f>
        <v>0</v>
      </c>
      <c r="I104" s="69">
        <f t="shared" si="6"/>
        <v>-2537.3886102400111</v>
      </c>
      <c r="J104" s="68">
        <f>1/(1+Inputs!$B$20)^$A104</f>
        <v>0.67135782871151295</v>
      </c>
      <c r="K104" s="6">
        <f t="shared" si="7"/>
        <v>-1703.4957079680573</v>
      </c>
      <c r="L104" s="6">
        <f>-SUM($I$6:I104)</f>
        <v>342397.26270487986</v>
      </c>
      <c r="M104" s="6">
        <f>-SUM($K$6:K104)</f>
        <v>293234.94298267557</v>
      </c>
    </row>
    <row r="105" spans="1:13" ht="18.2" customHeight="1">
      <c r="A105" s="1">
        <v>99</v>
      </c>
      <c r="B105" s="5">
        <f ca="1">EDATE(Inputs!$B$5,$A105)</f>
        <v>49126</v>
      </c>
      <c r="C105" s="66">
        <f>IF($A105=0,0,Inputs!$B$7)</f>
        <v>1200</v>
      </c>
      <c r="D105" s="6">
        <f>IF($A105=0,-Inputs!$B$4,0)</f>
        <v>0</v>
      </c>
      <c r="E105" s="6">
        <f>IF($A105=0,0,-$C105*Inputs!$B$12/100*Inputs!$B$13*(1+Inputs!$B$19)^$A105)</f>
        <v>-1434.3586315989301</v>
      </c>
      <c r="F105" s="6">
        <f>IF($A105=0,0,-Inputs!$B$10*(1+Inputs!$B$19)^$A105)</f>
        <v>-1108.256583731139</v>
      </c>
      <c r="G105" s="6">
        <f>IF(AND($A105&gt;0,MOD($A105,12)=0),-Inputs!$B$9*(1+Inputs!$B$19)^$A105,0)</f>
        <v>0</v>
      </c>
      <c r="H105" s="6">
        <f>IF($A105=0,0,-SUMPRODUCT((Maintenance!$A$6:$A$55&lt;&gt;"")*(Maintenance!$I$6:$I$55&lt;&gt;"")*($A105=Maintenance!$I$6:$I$55)*Maintenance!$C$6:$C$55*(1+Inputs!$B$19)^$A105)-SUMPRODUCT((Maintenance!$A$6:$A$55&lt;&gt;"")*(Maintenance!$J$6:$J$55&gt;0)*($A105&gt;Maintenance!$I$6:$I$55)*(IFERROR(MOD($A105-Maintenance!$I$6:$I$55,Maintenance!$J$6:$J$55),1)=0)*Maintenance!$C$6:$C$55*(1+Inputs!$B$19)^$A105))</f>
        <v>0</v>
      </c>
      <c r="I105" s="69">
        <f t="shared" si="6"/>
        <v>-2542.6152153300691</v>
      </c>
      <c r="J105" s="68">
        <f>1/(1+Inputs!$B$20)^$A105</f>
        <v>0.66863373212092936</v>
      </c>
      <c r="K105" s="6">
        <f t="shared" si="7"/>
        <v>-1700.0783007736045</v>
      </c>
      <c r="L105" s="6">
        <f>-SUM($I$6:I105)</f>
        <v>344939.87792020995</v>
      </c>
      <c r="M105" s="6">
        <f>-SUM($K$6:K105)</f>
        <v>294935.0212834492</v>
      </c>
    </row>
    <row r="106" spans="1:13" ht="18.2" customHeight="1">
      <c r="A106" s="1">
        <v>100</v>
      </c>
      <c r="B106" s="5">
        <f ca="1">EDATE(Inputs!$B$5,$A106)</f>
        <v>49157</v>
      </c>
      <c r="C106" s="66">
        <f>IF($A106=0,0,Inputs!$B$7)</f>
        <v>1200</v>
      </c>
      <c r="D106" s="6">
        <f>IF($A106=0,-Inputs!$B$4,0)</f>
        <v>0</v>
      </c>
      <c r="E106" s="6">
        <f>IF($A106=0,0,-$C106*Inputs!$B$12/100*Inputs!$B$13*(1+Inputs!$B$19)^$A106)</f>
        <v>-1437.3131755322597</v>
      </c>
      <c r="F106" s="6">
        <f>IF($A106=0,0,-Inputs!$B$10*(1+Inputs!$B$19)^$A106)</f>
        <v>-1110.5394108386008</v>
      </c>
      <c r="G106" s="6">
        <f>IF(AND($A106&gt;0,MOD($A106,12)=0),-Inputs!$B$9*(1+Inputs!$B$19)^$A106,0)</f>
        <v>0</v>
      </c>
      <c r="H106" s="6">
        <f>IF($A106=0,0,-SUMPRODUCT((Maintenance!$A$6:$A$55&lt;&gt;"")*(Maintenance!$I$6:$I$55&lt;&gt;"")*($A106=Maintenance!$I$6:$I$55)*Maintenance!$C$6:$C$55*(1+Inputs!$B$19)^$A106)-SUMPRODUCT((Maintenance!$A$6:$A$55&lt;&gt;"")*(Maintenance!$J$6:$J$55&gt;0)*($A106&gt;Maintenance!$I$6:$I$55)*(IFERROR(MOD($A106-Maintenance!$I$6:$I$55,Maintenance!$J$6:$J$55),1)=0)*Maintenance!$C$6:$C$55*(1+Inputs!$B$19)^$A106))</f>
        <v>0</v>
      </c>
      <c r="I106" s="69">
        <f t="shared" si="6"/>
        <v>-2547.8525863708605</v>
      </c>
      <c r="J106" s="68">
        <f>1/(1+Inputs!$B$20)^$A106</f>
        <v>0.66592068880464694</v>
      </c>
      <c r="K106" s="6">
        <f t="shared" si="7"/>
        <v>-1696.6677492887848</v>
      </c>
      <c r="L106" s="6">
        <f>-SUM($I$6:I106)</f>
        <v>347487.73050658079</v>
      </c>
      <c r="M106" s="6">
        <f>-SUM($K$6:K106)</f>
        <v>296631.68903273798</v>
      </c>
    </row>
    <row r="107" spans="1:13" ht="18.2" customHeight="1">
      <c r="A107" s="1">
        <v>101</v>
      </c>
      <c r="B107" s="5">
        <f ca="1">EDATE(Inputs!$B$5,$A107)</f>
        <v>49188</v>
      </c>
      <c r="C107" s="66">
        <f>IF($A107=0,0,Inputs!$B$7)</f>
        <v>1200</v>
      </c>
      <c r="D107" s="6">
        <f>IF($A107=0,-Inputs!$B$4,0)</f>
        <v>0</v>
      </c>
      <c r="E107" s="6">
        <f>IF($A107=0,0,-$C107*Inputs!$B$12/100*Inputs!$B$13*(1+Inputs!$B$19)^$A107)</f>
        <v>-1440.2738053423438</v>
      </c>
      <c r="F107" s="6">
        <f>IF($A107=0,0,-Inputs!$B$10*(1+Inputs!$B$19)^$A107)</f>
        <v>-1112.8269401961359</v>
      </c>
      <c r="G107" s="6">
        <f>IF(AND($A107&gt;0,MOD($A107,12)=0),-Inputs!$B$9*(1+Inputs!$B$19)^$A107,0)</f>
        <v>0</v>
      </c>
      <c r="H107" s="6">
        <f>IF($A107=0,0,-SUMPRODUCT((Maintenance!$A$6:$A$55&lt;&gt;"")*(Maintenance!$I$6:$I$55&lt;&gt;"")*($A107=Maintenance!$I$6:$I$55)*Maintenance!$C$6:$C$55*(1+Inputs!$B$19)^$A107)-SUMPRODUCT((Maintenance!$A$6:$A$55&lt;&gt;"")*(Maintenance!$J$6:$J$55&gt;0)*($A107&gt;Maintenance!$I$6:$I$55)*(IFERROR(MOD($A107-Maintenance!$I$6:$I$55,Maintenance!$J$6:$J$55),1)=0)*Maintenance!$C$6:$C$55*(1+Inputs!$B$19)^$A107))</f>
        <v>0</v>
      </c>
      <c r="I107" s="69">
        <f t="shared" si="6"/>
        <v>-2553.1007455384797</v>
      </c>
      <c r="J107" s="68">
        <f>1/(1+Inputs!$B$20)^$A107</f>
        <v>0.66321865391298085</v>
      </c>
      <c r="K107" s="6">
        <f t="shared" si="7"/>
        <v>-1693.2640397602584</v>
      </c>
      <c r="L107" s="6">
        <f>-SUM($I$6:I107)</f>
        <v>350040.83125211927</v>
      </c>
      <c r="M107" s="6">
        <f>-SUM($K$6:K107)</f>
        <v>298324.95307249826</v>
      </c>
    </row>
    <row r="108" spans="1:13" ht="18.2" customHeight="1">
      <c r="A108" s="1">
        <v>102</v>
      </c>
      <c r="B108" s="5">
        <f ca="1">EDATE(Inputs!$B$5,$A108)</f>
        <v>49218</v>
      </c>
      <c r="C108" s="66">
        <f>IF($A108=0,0,Inputs!$B$7)</f>
        <v>1200</v>
      </c>
      <c r="D108" s="6">
        <f>IF($A108=0,-Inputs!$B$4,0)</f>
        <v>0</v>
      </c>
      <c r="E108" s="6">
        <f>IF($A108=0,0,-$C108*Inputs!$B$12/100*Inputs!$B$13*(1+Inputs!$B$19)^$A108)</f>
        <v>-1443.2405335650924</v>
      </c>
      <c r="F108" s="6">
        <f>IF($A108=0,0,-Inputs!$B$10*(1+Inputs!$B$19)^$A108)</f>
        <v>-1115.1191814896097</v>
      </c>
      <c r="G108" s="6">
        <f>IF(AND($A108&gt;0,MOD($A108,12)=0),-Inputs!$B$9*(1+Inputs!$B$19)^$A108,0)</f>
        <v>0</v>
      </c>
      <c r="H108" s="6">
        <f>IF($A108=0,0,-SUMPRODUCT((Maintenance!$A$6:$A$55&lt;&gt;"")*(Maintenance!$I$6:$I$55&lt;&gt;"")*($A108=Maintenance!$I$6:$I$55)*Maintenance!$C$6:$C$55*(1+Inputs!$B$19)^$A108)-SUMPRODUCT((Maintenance!$A$6:$A$55&lt;&gt;"")*(Maintenance!$J$6:$J$55&gt;0)*($A108&gt;Maintenance!$I$6:$I$55)*(IFERROR(MOD($A108-Maintenance!$I$6:$I$55,Maintenance!$J$6:$J$55),1)=0)*Maintenance!$C$6:$C$55*(1+Inputs!$B$19)^$A108))</f>
        <v>0</v>
      </c>
      <c r="I108" s="69">
        <f t="shared" si="6"/>
        <v>-2558.3597150547021</v>
      </c>
      <c r="J108" s="68">
        <f>1/(1+Inputs!$B$20)^$A108</f>
        <v>0.66052758277822832</v>
      </c>
      <c r="K108" s="6">
        <f t="shared" si="7"/>
        <v>-1689.8671584622793</v>
      </c>
      <c r="L108" s="6">
        <f>-SUM($I$6:I108)</f>
        <v>352599.19096717396</v>
      </c>
      <c r="M108" s="6">
        <f>-SUM($K$6:K108)</f>
        <v>300014.82023096055</v>
      </c>
    </row>
    <row r="109" spans="1:13" ht="18.2" customHeight="1">
      <c r="A109" s="1">
        <v>103</v>
      </c>
      <c r="B109" s="5">
        <f ca="1">EDATE(Inputs!$B$5,$A109)</f>
        <v>49249</v>
      </c>
      <c r="C109" s="66">
        <f>IF($A109=0,0,Inputs!$B$7)</f>
        <v>1200</v>
      </c>
      <c r="D109" s="6">
        <f>IF($A109=0,-Inputs!$B$4,0)</f>
        <v>0</v>
      </c>
      <c r="E109" s="6">
        <f>IF($A109=0,0,-$C109*Inputs!$B$12/100*Inputs!$B$13*(1+Inputs!$B$19)^$A109)</f>
        <v>-1446.2133727622372</v>
      </c>
      <c r="F109" s="6">
        <f>IF($A109=0,0,-Inputs!$B$10*(1+Inputs!$B$19)^$A109)</f>
        <v>-1117.4161444248398</v>
      </c>
      <c r="G109" s="6">
        <f>IF(AND($A109&gt;0,MOD($A109,12)=0),-Inputs!$B$9*(1+Inputs!$B$19)^$A109,0)</f>
        <v>0</v>
      </c>
      <c r="H109" s="6">
        <f>IF($A109=0,0,-SUMPRODUCT((Maintenance!$A$6:$A$55&lt;&gt;"")*(Maintenance!$I$6:$I$55&lt;&gt;"")*($A109=Maintenance!$I$6:$I$55)*Maintenance!$C$6:$C$55*(1+Inputs!$B$19)^$A109)-SUMPRODUCT((Maintenance!$A$6:$A$55&lt;&gt;"")*(Maintenance!$J$6:$J$55&gt;0)*($A109&gt;Maintenance!$I$6:$I$55)*(IFERROR(MOD($A109-Maintenance!$I$6:$I$55,Maintenance!$J$6:$J$55),1)=0)*Maintenance!$C$6:$C$55*(1+Inputs!$B$19)^$A109))</f>
        <v>0</v>
      </c>
      <c r="I109" s="69">
        <f t="shared" si="6"/>
        <v>-2563.629517187077</v>
      </c>
      <c r="J109" s="68">
        <f>1/(1+Inputs!$B$20)^$A109</f>
        <v>0.65784743091392983</v>
      </c>
      <c r="K109" s="6">
        <f t="shared" si="7"/>
        <v>-1686.477091696637</v>
      </c>
      <c r="L109" s="6">
        <f>-SUM($I$6:I109)</f>
        <v>355162.82048436103</v>
      </c>
      <c r="M109" s="6">
        <f>-SUM($K$6:K109)</f>
        <v>301701.29732265719</v>
      </c>
    </row>
    <row r="110" spans="1:13" ht="18.2" customHeight="1">
      <c r="A110" s="1">
        <v>104</v>
      </c>
      <c r="B110" s="5">
        <f ca="1">EDATE(Inputs!$B$5,$A110)</f>
        <v>49279</v>
      </c>
      <c r="C110" s="66">
        <f>IF($A110=0,0,Inputs!$B$7)</f>
        <v>1200</v>
      </c>
      <c r="D110" s="6">
        <f>IF($A110=0,-Inputs!$B$4,0)</f>
        <v>0</v>
      </c>
      <c r="E110" s="6">
        <f>IF($A110=0,0,-$C110*Inputs!$B$12/100*Inputs!$B$13*(1+Inputs!$B$19)^$A110)</f>
        <v>-1449.1923355213844</v>
      </c>
      <c r="F110" s="6">
        <f>IF($A110=0,0,-Inputs!$B$10*(1+Inputs!$B$19)^$A110)</f>
        <v>-1119.7178387276338</v>
      </c>
      <c r="G110" s="6">
        <f>IF(AND($A110&gt;0,MOD($A110,12)=0),-Inputs!$B$9*(1+Inputs!$B$19)^$A110,0)</f>
        <v>0</v>
      </c>
      <c r="H110" s="6">
        <f>IF($A110=0,0,-SUMPRODUCT((Maintenance!$A$6:$A$55&lt;&gt;"")*(Maintenance!$I$6:$I$55&lt;&gt;"")*($A110=Maintenance!$I$6:$I$55)*Maintenance!$C$6:$C$55*(1+Inputs!$B$19)^$A110)-SUMPRODUCT((Maintenance!$A$6:$A$55&lt;&gt;"")*(Maintenance!$J$6:$J$55&gt;0)*($A110&gt;Maintenance!$I$6:$I$55)*(IFERROR(MOD($A110-Maintenance!$I$6:$I$55,Maintenance!$J$6:$J$55),1)=0)*Maintenance!$C$6:$C$55*(1+Inputs!$B$19)^$A110))</f>
        <v>0</v>
      </c>
      <c r="I110" s="69">
        <f t="shared" si="6"/>
        <v>-2568.9101742490184</v>
      </c>
      <c r="J110" s="68">
        <f>1/(1+Inputs!$B$20)^$A110</f>
        <v>0.65517815401413393</v>
      </c>
      <c r="K110" s="6">
        <f t="shared" si="7"/>
        <v>-1683.0938257925991</v>
      </c>
      <c r="L110" s="6">
        <f>-SUM($I$6:I110)</f>
        <v>357731.73065861006</v>
      </c>
      <c r="M110" s="6">
        <f>-SUM($K$6:K110)</f>
        <v>303384.39114844979</v>
      </c>
    </row>
    <row r="111" spans="1:13" ht="18.2" customHeight="1">
      <c r="A111" s="1">
        <v>105</v>
      </c>
      <c r="B111" s="5">
        <f ca="1">EDATE(Inputs!$B$5,$A111)</f>
        <v>49310</v>
      </c>
      <c r="C111" s="66">
        <f>IF($A111=0,0,Inputs!$B$7)</f>
        <v>1200</v>
      </c>
      <c r="D111" s="6">
        <f>IF($A111=0,-Inputs!$B$4,0)</f>
        <v>0</v>
      </c>
      <c r="E111" s="6">
        <f>IF($A111=0,0,-$C111*Inputs!$B$12/100*Inputs!$B$13*(1+Inputs!$B$19)^$A111)</f>
        <v>-1452.1774344560695</v>
      </c>
      <c r="F111" s="6">
        <f>IF($A111=0,0,-Inputs!$B$10*(1+Inputs!$B$19)^$A111)</f>
        <v>-1122.0242741438349</v>
      </c>
      <c r="G111" s="6">
        <f>IF(AND($A111&gt;0,MOD($A111,12)=0),-Inputs!$B$9*(1+Inputs!$B$19)^$A111,0)</f>
        <v>0</v>
      </c>
      <c r="H111" s="6">
        <f>IF($A111=0,0,-SUMPRODUCT((Maintenance!$A$6:$A$55&lt;&gt;"")*(Maintenance!$I$6:$I$55&lt;&gt;"")*($A111=Maintenance!$I$6:$I$55)*Maintenance!$C$6:$C$55*(1+Inputs!$B$19)^$A111)-SUMPRODUCT((Maintenance!$A$6:$A$55&lt;&gt;"")*(Maintenance!$J$6:$J$55&gt;0)*($A111&gt;Maintenance!$I$6:$I$55)*(IFERROR(MOD($A111-Maintenance!$I$6:$I$55,Maintenance!$J$6:$J$55),1)=0)*Maintenance!$C$6:$C$55*(1+Inputs!$B$19)^$A111))</f>
        <v>0</v>
      </c>
      <c r="I111" s="69">
        <f t="shared" si="6"/>
        <v>-2574.2017085999041</v>
      </c>
      <c r="J111" s="68">
        <f>1/(1+Inputs!$B$20)^$A111</f>
        <v>0.65251970795266456</v>
      </c>
      <c r="K111" s="6">
        <f t="shared" si="7"/>
        <v>-1679.7173471068595</v>
      </c>
      <c r="L111" s="6">
        <f>-SUM($I$6:I111)</f>
        <v>360305.93236720999</v>
      </c>
      <c r="M111" s="6">
        <f>-SUM($K$6:K111)</f>
        <v>305064.10849555663</v>
      </c>
    </row>
    <row r="112" spans="1:13" ht="18.2" customHeight="1">
      <c r="A112" s="1">
        <v>106</v>
      </c>
      <c r="B112" s="5">
        <f ca="1">EDATE(Inputs!$B$5,$A112)</f>
        <v>49341</v>
      </c>
      <c r="C112" s="66">
        <f>IF($A112=0,0,Inputs!$B$7)</f>
        <v>1200</v>
      </c>
      <c r="D112" s="6">
        <f>IF($A112=0,-Inputs!$B$4,0)</f>
        <v>0</v>
      </c>
      <c r="E112" s="6">
        <f>IF($A112=0,0,-$C112*Inputs!$B$12/100*Inputs!$B$13*(1+Inputs!$B$19)^$A112)</f>
        <v>-1455.1686822058091</v>
      </c>
      <c r="F112" s="6">
        <f>IF($A112=0,0,-Inputs!$B$10*(1+Inputs!$B$19)^$A112)</f>
        <v>-1124.3354604393603</v>
      </c>
      <c r="G112" s="6">
        <f>IF(AND($A112&gt;0,MOD($A112,12)=0),-Inputs!$B$9*(1+Inputs!$B$19)^$A112,0)</f>
        <v>0</v>
      </c>
      <c r="H112" s="6">
        <f>IF($A112=0,0,-SUMPRODUCT((Maintenance!$A$6:$A$55&lt;&gt;"")*(Maintenance!$I$6:$I$55&lt;&gt;"")*($A112=Maintenance!$I$6:$I$55)*Maintenance!$C$6:$C$55*(1+Inputs!$B$19)^$A112)-SUMPRODUCT((Maintenance!$A$6:$A$55&lt;&gt;"")*(Maintenance!$J$6:$J$55&gt;0)*($A112&gt;Maintenance!$I$6:$I$55)*(IFERROR(MOD($A112-Maintenance!$I$6:$I$55,Maintenance!$J$6:$J$55),1)=0)*Maintenance!$C$6:$C$55*(1+Inputs!$B$19)^$A112))</f>
        <v>0</v>
      </c>
      <c r="I112" s="69">
        <f t="shared" si="6"/>
        <v>-2579.5041426451694</v>
      </c>
      <c r="J112" s="68">
        <f>1/(1+Inputs!$B$20)^$A112</f>
        <v>0.64987204878239202</v>
      </c>
      <c r="K112" s="6">
        <f t="shared" si="7"/>
        <v>-1676.3476420234838</v>
      </c>
      <c r="L112" s="6">
        <f>-SUM($I$6:I112)</f>
        <v>362885.43650985515</v>
      </c>
      <c r="M112" s="6">
        <f>-SUM($K$6:K112)</f>
        <v>306740.4561375801</v>
      </c>
    </row>
    <row r="113" spans="1:13" ht="18.2" customHeight="1">
      <c r="A113" s="1">
        <v>107</v>
      </c>
      <c r="B113" s="5">
        <f ca="1">EDATE(Inputs!$B$5,$A113)</f>
        <v>49369</v>
      </c>
      <c r="C113" s="66">
        <f>IF($A113=0,0,Inputs!$B$7)</f>
        <v>1200</v>
      </c>
      <c r="D113" s="6">
        <f>IF($A113=0,-Inputs!$B$4,0)</f>
        <v>0</v>
      </c>
      <c r="E113" s="6">
        <f>IF($A113=0,0,-$C113*Inputs!$B$12/100*Inputs!$B$13*(1+Inputs!$B$19)^$A113)</f>
        <v>-1458.166091436156</v>
      </c>
      <c r="F113" s="6">
        <f>IF($A113=0,0,-Inputs!$B$10*(1+Inputs!$B$19)^$A113)</f>
        <v>-1126.6514074002434</v>
      </c>
      <c r="G113" s="6">
        <f>IF(AND($A113&gt;0,MOD($A113,12)=0),-Inputs!$B$9*(1+Inputs!$B$19)^$A113,0)</f>
        <v>0</v>
      </c>
      <c r="H113" s="6">
        <f>IF($A113=0,0,-SUMPRODUCT((Maintenance!$A$6:$A$55&lt;&gt;"")*(Maintenance!$I$6:$I$55&lt;&gt;"")*($A113=Maintenance!$I$6:$I$55)*Maintenance!$C$6:$C$55*(1+Inputs!$B$19)^$A113)-SUMPRODUCT((Maintenance!$A$6:$A$55&lt;&gt;"")*(Maintenance!$J$6:$J$55&gt;0)*($A113&gt;Maintenance!$I$6:$I$55)*(IFERROR(MOD($A113-Maintenance!$I$6:$I$55,Maintenance!$J$6:$J$55),1)=0)*Maintenance!$C$6:$C$55*(1+Inputs!$B$19)^$A113))</f>
        <v>0</v>
      </c>
      <c r="I113" s="69">
        <f t="shared" si="6"/>
        <v>-2584.8174988363994</v>
      </c>
      <c r="J113" s="68">
        <f>1/(1+Inputs!$B$20)^$A113</f>
        <v>0.64723513273450561</v>
      </c>
      <c r="K113" s="6">
        <f t="shared" si="7"/>
        <v>-1672.9846969538498</v>
      </c>
      <c r="L113" s="6">
        <f>-SUM($I$6:I113)</f>
        <v>365470.25400869153</v>
      </c>
      <c r="M113" s="6">
        <f>-SUM($K$6:K113)</f>
        <v>308413.44083453395</v>
      </c>
    </row>
    <row r="114" spans="1:13" ht="18.2" customHeight="1">
      <c r="A114" s="1">
        <v>108</v>
      </c>
      <c r="B114" s="5">
        <f ca="1">EDATE(Inputs!$B$5,$A114)</f>
        <v>49400</v>
      </c>
      <c r="C114" s="66">
        <f>IF($A114=0,0,Inputs!$B$7)</f>
        <v>1200</v>
      </c>
      <c r="D114" s="6">
        <f>IF($A114=0,-Inputs!$B$4,0)</f>
        <v>0</v>
      </c>
      <c r="E114" s="6">
        <f>IF($A114=0,0,-$C114*Inputs!$B$12/100*Inputs!$B$13*(1+Inputs!$B$19)^$A114)</f>
        <v>-1461.169674838751</v>
      </c>
      <c r="F114" s="6">
        <f>IF($A114=0,0,-Inputs!$B$10*(1+Inputs!$B$19)^$A114)</f>
        <v>-1128.9721248326759</v>
      </c>
      <c r="G114" s="6">
        <f>IF(AND($A114&gt;0,MOD($A114,12)=0),-Inputs!$B$9*(1+Inputs!$B$19)^$A114,0)</f>
        <v>-1561.0787124345629</v>
      </c>
      <c r="H114" s="6">
        <f>IF($A114=0,0,-SUMPRODUCT((Maintenance!$A$6:$A$55&lt;&gt;"")*(Maintenance!$I$6:$I$55&lt;&gt;"")*($A114=Maintenance!$I$6:$I$55)*Maintenance!$C$6:$C$55*(1+Inputs!$B$19)^$A114)-SUMPRODUCT((Maintenance!$A$6:$A$55&lt;&gt;"")*(Maintenance!$J$6:$J$55&gt;0)*($A114&gt;Maintenance!$I$6:$I$55)*(IFERROR(MOD($A114-Maintenance!$I$6:$I$55,Maintenance!$J$6:$J$55),1)=0)*Maintenance!$C$6:$C$55*(1+Inputs!$B$19)^$A114))</f>
        <v>0</v>
      </c>
      <c r="I114" s="69">
        <f t="shared" si="6"/>
        <v>-4151.2205121059906</v>
      </c>
      <c r="J114" s="68">
        <f>1/(1+Inputs!$B$20)^$A114</f>
        <v>0.64460891621779093</v>
      </c>
      <c r="K114" s="6">
        <f t="shared" si="7"/>
        <v>-2675.9137552897055</v>
      </c>
      <c r="L114" s="6">
        <f>-SUM($I$6:I114)</f>
        <v>369621.47452079749</v>
      </c>
      <c r="M114" s="6">
        <f>-SUM($K$6:K114)</f>
        <v>311089.35458982363</v>
      </c>
    </row>
    <row r="115" spans="1:13" ht="18.2" customHeight="1">
      <c r="A115" s="1">
        <v>109</v>
      </c>
      <c r="B115" s="5">
        <f ca="1">EDATE(Inputs!$B$5,$A115)</f>
        <v>49430</v>
      </c>
      <c r="C115" s="66">
        <f>IF($A115=0,0,Inputs!$B$7)</f>
        <v>1200</v>
      </c>
      <c r="D115" s="6">
        <f>IF($A115=0,-Inputs!$B$4,0)</f>
        <v>0</v>
      </c>
      <c r="E115" s="6">
        <f>IF($A115=0,0,-$C115*Inputs!$B$12/100*Inputs!$B$13*(1+Inputs!$B$19)^$A115)</f>
        <v>-1464.1794451313781</v>
      </c>
      <c r="F115" s="6">
        <f>IF($A115=0,0,-Inputs!$B$10*(1+Inputs!$B$19)^$A115)</f>
        <v>-1131.2976225630475</v>
      </c>
      <c r="G115" s="6">
        <f>IF(AND($A115&gt;0,MOD($A115,12)=0),-Inputs!$B$9*(1+Inputs!$B$19)^$A115,0)</f>
        <v>0</v>
      </c>
      <c r="H115" s="6">
        <f>IF($A115=0,0,-SUMPRODUCT((Maintenance!$A$6:$A$55&lt;&gt;"")*(Maintenance!$I$6:$I$55&lt;&gt;"")*($A115=Maintenance!$I$6:$I$55)*Maintenance!$C$6:$C$55*(1+Inputs!$B$19)^$A115)-SUMPRODUCT((Maintenance!$A$6:$A$55&lt;&gt;"")*(Maintenance!$J$6:$J$55&gt;0)*($A115&gt;Maintenance!$I$6:$I$55)*(IFERROR(MOD($A115-Maintenance!$I$6:$I$55,Maintenance!$J$6:$J$55),1)=0)*Maintenance!$C$6:$C$55*(1+Inputs!$B$19)^$A115))</f>
        <v>0</v>
      </c>
      <c r="I115" s="69">
        <f t="shared" si="6"/>
        <v>-2595.4770676944254</v>
      </c>
      <c r="J115" s="68">
        <f>1/(1+Inputs!$B$20)^$A115</f>
        <v>0.64199335581790884</v>
      </c>
      <c r="K115" s="6">
        <f t="shared" si="7"/>
        <v>-1666.2790326375698</v>
      </c>
      <c r="L115" s="6">
        <f>-SUM($I$6:I115)</f>
        <v>372216.95158849191</v>
      </c>
      <c r="M115" s="6">
        <f>-SUM($K$6:K115)</f>
        <v>312755.63362246123</v>
      </c>
    </row>
    <row r="116" spans="1:13" ht="18.2" customHeight="1">
      <c r="A116" s="1">
        <v>110</v>
      </c>
      <c r="B116" s="5">
        <f ca="1">EDATE(Inputs!$B$5,$A116)</f>
        <v>49461</v>
      </c>
      <c r="C116" s="66">
        <f>IF($A116=0,0,Inputs!$B$7)</f>
        <v>1200</v>
      </c>
      <c r="D116" s="6">
        <f>IF($A116=0,-Inputs!$B$4,0)</f>
        <v>0</v>
      </c>
      <c r="E116" s="6">
        <f>IF($A116=0,0,-$C116*Inputs!$B$12/100*Inputs!$B$13*(1+Inputs!$B$19)^$A116)</f>
        <v>-1467.1954150580179</v>
      </c>
      <c r="F116" s="6">
        <f>IF($A116=0,0,-Inputs!$B$10*(1+Inputs!$B$19)^$A116)</f>
        <v>-1133.6279104379901</v>
      </c>
      <c r="G116" s="6">
        <f>IF(AND($A116&gt;0,MOD($A116,12)=0),-Inputs!$B$9*(1+Inputs!$B$19)^$A116,0)</f>
        <v>0</v>
      </c>
      <c r="H116" s="6">
        <f>IF($A116=0,0,-SUMPRODUCT((Maintenance!$A$6:$A$55&lt;&gt;"")*(Maintenance!$I$6:$I$55&lt;&gt;"")*($A116=Maintenance!$I$6:$I$55)*Maintenance!$C$6:$C$55*(1+Inputs!$B$19)^$A116)-SUMPRODUCT((Maintenance!$A$6:$A$55&lt;&gt;"")*(Maintenance!$J$6:$J$55&gt;0)*($A116&gt;Maintenance!$I$6:$I$55)*(IFERROR(MOD($A116-Maintenance!$I$6:$I$55,Maintenance!$J$6:$J$55),1)=0)*Maintenance!$C$6:$C$55*(1+Inputs!$B$19)^$A116))</f>
        <v>0</v>
      </c>
      <c r="I116" s="69">
        <f t="shared" si="6"/>
        <v>-2600.8233254960078</v>
      </c>
      <c r="J116" s="68">
        <f>1/(1+Inputs!$B$20)^$A116</f>
        <v>0.63938840829667831</v>
      </c>
      <c r="K116" s="6">
        <f t="shared" si="7"/>
        <v>-1662.9362863497661</v>
      </c>
      <c r="L116" s="6">
        <f>-SUM($I$6:I116)</f>
        <v>374817.7749139879</v>
      </c>
      <c r="M116" s="6">
        <f>-SUM($K$6:K116)</f>
        <v>314418.56990881101</v>
      </c>
    </row>
    <row r="117" spans="1:13" ht="18.2" customHeight="1">
      <c r="A117" s="1">
        <v>111</v>
      </c>
      <c r="B117" s="5">
        <f ca="1">EDATE(Inputs!$B$5,$A117)</f>
        <v>49491</v>
      </c>
      <c r="C117" s="66">
        <f>IF($A117=0,0,Inputs!$B$7)</f>
        <v>1200</v>
      </c>
      <c r="D117" s="6">
        <f>IF($A117=0,-Inputs!$B$4,0)</f>
        <v>0</v>
      </c>
      <c r="E117" s="6">
        <f>IF($A117=0,0,-$C117*Inputs!$B$12/100*Inputs!$B$13*(1+Inputs!$B$19)^$A117)</f>
        <v>-1470.2175973889014</v>
      </c>
      <c r="F117" s="6">
        <f>IF($A117=0,0,-Inputs!$B$10*(1+Inputs!$B$19)^$A117)</f>
        <v>-1135.9629983244163</v>
      </c>
      <c r="G117" s="6">
        <f>IF(AND($A117&gt;0,MOD($A117,12)=0),-Inputs!$B$9*(1+Inputs!$B$19)^$A117,0)</f>
        <v>0</v>
      </c>
      <c r="H117" s="6">
        <f>IF($A117=0,0,-SUMPRODUCT((Maintenance!$A$6:$A$55&lt;&gt;"")*(Maintenance!$I$6:$I$55&lt;&gt;"")*($A117=Maintenance!$I$6:$I$55)*Maintenance!$C$6:$C$55*(1+Inputs!$B$19)^$A117)-SUMPRODUCT((Maintenance!$A$6:$A$55&lt;&gt;"")*(Maintenance!$J$6:$J$55&gt;0)*($A117&gt;Maintenance!$I$6:$I$55)*(IFERROR(MOD($A117-Maintenance!$I$6:$I$55,Maintenance!$J$6:$J$55),1)=0)*Maintenance!$C$6:$C$55*(1+Inputs!$B$19)^$A117))</f>
        <v>0</v>
      </c>
      <c r="I117" s="69">
        <f t="shared" si="6"/>
        <v>-2606.1805957133174</v>
      </c>
      <c r="J117" s="68">
        <f>1/(1+Inputs!$B$20)^$A117</f>
        <v>0.63679403059136075</v>
      </c>
      <c r="K117" s="6">
        <f t="shared" si="7"/>
        <v>-1659.600245993277</v>
      </c>
      <c r="L117" s="6">
        <f>-SUM($I$6:I117)</f>
        <v>377423.95550970122</v>
      </c>
      <c r="M117" s="6">
        <f>-SUM($K$6:K117)</f>
        <v>316078.17015480431</v>
      </c>
    </row>
    <row r="118" spans="1:13" ht="18.2" customHeight="1">
      <c r="A118" s="1">
        <v>112</v>
      </c>
      <c r="B118" s="5">
        <f ca="1">EDATE(Inputs!$B$5,$A118)</f>
        <v>49522</v>
      </c>
      <c r="C118" s="66">
        <f>IF($A118=0,0,Inputs!$B$7)</f>
        <v>1200</v>
      </c>
      <c r="D118" s="6">
        <f>IF($A118=0,-Inputs!$B$4,0)</f>
        <v>0</v>
      </c>
      <c r="E118" s="6">
        <f>IF($A118=0,0,-$C118*Inputs!$B$12/100*Inputs!$B$13*(1+Inputs!$B$19)^$A118)</f>
        <v>-1473.246004920564</v>
      </c>
      <c r="F118" s="6">
        <f>IF($A118=0,0,-Inputs!$B$10*(1+Inputs!$B$19)^$A118)</f>
        <v>-1138.302896109564</v>
      </c>
      <c r="G118" s="6">
        <f>IF(AND($A118&gt;0,MOD($A118,12)=0),-Inputs!$B$9*(1+Inputs!$B$19)^$A118,0)</f>
        <v>0</v>
      </c>
      <c r="H118" s="6">
        <f>IF($A118=0,0,-SUMPRODUCT((Maintenance!$A$6:$A$55&lt;&gt;"")*(Maintenance!$I$6:$I$55&lt;&gt;"")*($A118=Maintenance!$I$6:$I$55)*Maintenance!$C$6:$C$55*(1+Inputs!$B$19)^$A118)-SUMPRODUCT((Maintenance!$A$6:$A$55&lt;&gt;"")*(Maintenance!$J$6:$J$55&gt;0)*($A118&gt;Maintenance!$I$6:$I$55)*(IFERROR(MOD($A118-Maintenance!$I$6:$I$55,Maintenance!$J$6:$J$55),1)=0)*Maintenance!$C$6:$C$55*(1+Inputs!$B$19)^$A118))</f>
        <v>0</v>
      </c>
      <c r="I118" s="69">
        <f t="shared" si="6"/>
        <v>-2611.548901030128</v>
      </c>
      <c r="J118" s="68">
        <f>1/(1+Inputs!$B$20)^$A118</f>
        <v>0.63421017981394867</v>
      </c>
      <c r="K118" s="6">
        <f t="shared" si="7"/>
        <v>-1656.2708981152375</v>
      </c>
      <c r="L118" s="6">
        <f>-SUM($I$6:I118)</f>
        <v>380035.50441073137</v>
      </c>
      <c r="M118" s="6">
        <f>-SUM($K$6:K118)</f>
        <v>317734.44105291954</v>
      </c>
    </row>
    <row r="119" spans="1:13" ht="18.2" customHeight="1">
      <c r="A119" s="1">
        <v>113</v>
      </c>
      <c r="B119" s="5">
        <f ca="1">EDATE(Inputs!$B$5,$A119)</f>
        <v>49553</v>
      </c>
      <c r="C119" s="66">
        <f>IF($A119=0,0,Inputs!$B$7)</f>
        <v>1200</v>
      </c>
      <c r="D119" s="6">
        <f>IF($A119=0,-Inputs!$B$4,0)</f>
        <v>0</v>
      </c>
      <c r="E119" s="6">
        <f>IF($A119=0,0,-$C119*Inputs!$B$12/100*Inputs!$B$13*(1+Inputs!$B$19)^$A119)</f>
        <v>-1476.2806504759005</v>
      </c>
      <c r="F119" s="6">
        <f>IF($A119=0,0,-Inputs!$B$10*(1+Inputs!$B$19)^$A119)</f>
        <v>-1140.6476137010377</v>
      </c>
      <c r="G119" s="6">
        <f>IF(AND($A119&gt;0,MOD($A119,12)=0),-Inputs!$B$9*(1+Inputs!$B$19)^$A119,0)</f>
        <v>0</v>
      </c>
      <c r="H119" s="6">
        <f>IF($A119=0,0,-SUMPRODUCT((Maintenance!$A$6:$A$55&lt;&gt;"")*(Maintenance!$I$6:$I$55&lt;&gt;"")*($A119=Maintenance!$I$6:$I$55)*Maintenance!$C$6:$C$55*(1+Inputs!$B$19)^$A119)-SUMPRODUCT((Maintenance!$A$6:$A$55&lt;&gt;"")*(Maintenance!$J$6:$J$55&gt;0)*($A119&gt;Maintenance!$I$6:$I$55)*(IFERROR(MOD($A119-Maintenance!$I$6:$I$55,Maintenance!$J$6:$J$55),1)=0)*Maintenance!$C$6:$C$55*(1+Inputs!$B$19)^$A119))</f>
        <v>0</v>
      </c>
      <c r="I119" s="69">
        <f t="shared" si="6"/>
        <v>-2616.9282641769382</v>
      </c>
      <c r="J119" s="68">
        <f>1/(1+Inputs!$B$20)^$A119</f>
        <v>0.63163681325045729</v>
      </c>
      <c r="K119" s="6">
        <f t="shared" si="7"/>
        <v>-1652.9482292897721</v>
      </c>
      <c r="L119" s="6">
        <f>-SUM($I$6:I119)</f>
        <v>382652.43267490831</v>
      </c>
      <c r="M119" s="6">
        <f>-SUM($K$6:K119)</f>
        <v>319387.38928220933</v>
      </c>
    </row>
    <row r="120" spans="1:13" ht="18.2" customHeight="1">
      <c r="A120" s="1">
        <v>114</v>
      </c>
      <c r="B120" s="5">
        <f ca="1">EDATE(Inputs!$B$5,$A120)</f>
        <v>49583</v>
      </c>
      <c r="C120" s="66">
        <f>IF($A120=0,0,Inputs!$B$7)</f>
        <v>1200</v>
      </c>
      <c r="D120" s="6">
        <f>IF($A120=0,-Inputs!$B$4,0)</f>
        <v>0</v>
      </c>
      <c r="E120" s="6">
        <f>IF($A120=0,0,-$C120*Inputs!$B$12/100*Inputs!$B$13*(1+Inputs!$B$19)^$A120)</f>
        <v>-1479.3215469042179</v>
      </c>
      <c r="F120" s="6">
        <f>IF($A120=0,0,-Inputs!$B$10*(1+Inputs!$B$19)^$A120)</f>
        <v>-1142.9971610268487</v>
      </c>
      <c r="G120" s="6">
        <f>IF(AND($A120&gt;0,MOD($A120,12)=0),-Inputs!$B$9*(1+Inputs!$B$19)^$A120,0)</f>
        <v>0</v>
      </c>
      <c r="H120" s="6">
        <f>IF($A120=0,0,-SUMPRODUCT((Maintenance!$A$6:$A$55&lt;&gt;"")*(Maintenance!$I$6:$I$55&lt;&gt;"")*($A120=Maintenance!$I$6:$I$55)*Maintenance!$C$6:$C$55*(1+Inputs!$B$19)^$A120)-SUMPRODUCT((Maintenance!$A$6:$A$55&lt;&gt;"")*(Maintenance!$J$6:$J$55&gt;0)*($A120&gt;Maintenance!$I$6:$I$55)*(IFERROR(MOD($A120-Maintenance!$I$6:$I$55,Maintenance!$J$6:$J$55),1)=0)*Maintenance!$C$6:$C$55*(1+Inputs!$B$19)^$A120))</f>
        <v>0</v>
      </c>
      <c r="I120" s="69">
        <f t="shared" si="6"/>
        <v>-2622.3187079310665</v>
      </c>
      <c r="J120" s="68">
        <f>1/(1+Inputs!$B$20)^$A120</f>
        <v>0.6290738883602166</v>
      </c>
      <c r="K120" s="6">
        <f t="shared" si="7"/>
        <v>-1649.6322261179353</v>
      </c>
      <c r="L120" s="6">
        <f>-SUM($I$6:I120)</f>
        <v>385274.7513828394</v>
      </c>
      <c r="M120" s="6">
        <f>-SUM($K$6:K120)</f>
        <v>321037.02150832728</v>
      </c>
    </row>
    <row r="121" spans="1:13" ht="18.2" customHeight="1">
      <c r="A121" s="1">
        <v>115</v>
      </c>
      <c r="B121" s="5">
        <f ca="1">EDATE(Inputs!$B$5,$A121)</f>
        <v>49614</v>
      </c>
      <c r="C121" s="66">
        <f>IF($A121=0,0,Inputs!$B$7)</f>
        <v>1200</v>
      </c>
      <c r="D121" s="6">
        <f>IF($A121=0,-Inputs!$B$4,0)</f>
        <v>0</v>
      </c>
      <c r="E121" s="6">
        <f>IF($A121=0,0,-$C121*Inputs!$B$12/100*Inputs!$B$13*(1+Inputs!$B$19)^$A121)</f>
        <v>-1482.3687070812905</v>
      </c>
      <c r="F121" s="6">
        <f>IF($A121=0,0,-Inputs!$B$10*(1+Inputs!$B$19)^$A121)</f>
        <v>-1145.3515480354588</v>
      </c>
      <c r="G121" s="6">
        <f>IF(AND($A121&gt;0,MOD($A121,12)=0),-Inputs!$B$9*(1+Inputs!$B$19)^$A121,0)</f>
        <v>0</v>
      </c>
      <c r="H121" s="6">
        <f>IF($A121=0,0,-SUMPRODUCT((Maintenance!$A$6:$A$55&lt;&gt;"")*(Maintenance!$I$6:$I$55&lt;&gt;"")*($A121=Maintenance!$I$6:$I$55)*Maintenance!$C$6:$C$55*(1+Inputs!$B$19)^$A121)-SUMPRODUCT((Maintenance!$A$6:$A$55&lt;&gt;"")*(Maintenance!$J$6:$J$55&gt;0)*($A121&gt;Maintenance!$I$6:$I$55)*(IFERROR(MOD($A121-Maintenance!$I$6:$I$55,Maintenance!$J$6:$J$55),1)=0)*Maintenance!$C$6:$C$55*(1+Inputs!$B$19)^$A121))</f>
        <v>0</v>
      </c>
      <c r="I121" s="69">
        <f t="shared" si="6"/>
        <v>-2627.7202551167493</v>
      </c>
      <c r="J121" s="68">
        <f>1/(1+Inputs!$B$20)^$A121</f>
        <v>0.62652136277517056</v>
      </c>
      <c r="K121" s="6">
        <f t="shared" si="7"/>
        <v>-1646.3228752276646</v>
      </c>
      <c r="L121" s="6">
        <f>-SUM($I$6:I121)</f>
        <v>387902.47163795616</v>
      </c>
      <c r="M121" s="6">
        <f>-SUM($K$6:K121)</f>
        <v>322683.34438355494</v>
      </c>
    </row>
    <row r="122" spans="1:13" ht="18.2" customHeight="1">
      <c r="A122" s="1">
        <v>116</v>
      </c>
      <c r="B122" s="5">
        <f ca="1">EDATE(Inputs!$B$5,$A122)</f>
        <v>49644</v>
      </c>
      <c r="C122" s="66">
        <f>IF($A122=0,0,Inputs!$B$7)</f>
        <v>1200</v>
      </c>
      <c r="D122" s="6">
        <f>IF($A122=0,-Inputs!$B$4,0)</f>
        <v>0</v>
      </c>
      <c r="E122" s="6">
        <f>IF($A122=0,0,-$C122*Inputs!$B$12/100*Inputs!$B$13*(1+Inputs!$B$19)^$A122)</f>
        <v>-1485.4221439094169</v>
      </c>
      <c r="F122" s="6">
        <f>IF($A122=0,0,-Inputs!$B$10*(1+Inputs!$B$19)^$A122)</f>
        <v>-1147.7107846958229</v>
      </c>
      <c r="G122" s="6">
        <f>IF(AND($A122&gt;0,MOD($A122,12)=0),-Inputs!$B$9*(1+Inputs!$B$19)^$A122,0)</f>
        <v>0</v>
      </c>
      <c r="H122" s="6">
        <f>IF($A122=0,0,-SUMPRODUCT((Maintenance!$A$6:$A$55&lt;&gt;"")*(Maintenance!$I$6:$I$55&lt;&gt;"")*($A122=Maintenance!$I$6:$I$55)*Maintenance!$C$6:$C$55*(1+Inputs!$B$19)^$A122)-SUMPRODUCT((Maintenance!$A$6:$A$55&lt;&gt;"")*(Maintenance!$J$6:$J$55&gt;0)*($A122&gt;Maintenance!$I$6:$I$55)*(IFERROR(MOD($A122-Maintenance!$I$6:$I$55,Maintenance!$J$6:$J$55),1)=0)*Maintenance!$C$6:$C$55*(1+Inputs!$B$19)^$A122))</f>
        <v>0</v>
      </c>
      <c r="I122" s="69">
        <f t="shared" si="6"/>
        <v>-2633.1329286052396</v>
      </c>
      <c r="J122" s="68">
        <f>1/(1+Inputs!$B$20)^$A122</f>
        <v>0.62397919429917459</v>
      </c>
      <c r="K122" s="6">
        <f t="shared" si="7"/>
        <v>-1643.0201632737235</v>
      </c>
      <c r="L122" s="6">
        <f>-SUM($I$6:I122)</f>
        <v>390535.60456656141</v>
      </c>
      <c r="M122" s="6">
        <f>-SUM($K$6:K122)</f>
        <v>324326.36454682867</v>
      </c>
    </row>
    <row r="123" spans="1:13" ht="18.2" customHeight="1">
      <c r="A123" s="1">
        <v>117</v>
      </c>
      <c r="B123" s="5">
        <f ca="1">EDATE(Inputs!$B$5,$A123)</f>
        <v>49675</v>
      </c>
      <c r="C123" s="66">
        <f>IF($A123=0,0,Inputs!$B$7)</f>
        <v>1200</v>
      </c>
      <c r="D123" s="6">
        <f>IF($A123=0,-Inputs!$B$4,0)</f>
        <v>0</v>
      </c>
      <c r="E123" s="6">
        <f>IF($A123=0,0,-$C123*Inputs!$B$12/100*Inputs!$B$13*(1+Inputs!$B$19)^$A123)</f>
        <v>-1488.4818703174687</v>
      </c>
      <c r="F123" s="6">
        <f>IF($A123=0,0,-Inputs!$B$10*(1+Inputs!$B$19)^$A123)</f>
        <v>-1150.0748809974289</v>
      </c>
      <c r="G123" s="6">
        <f>IF(AND($A123&gt;0,MOD($A123,12)=0),-Inputs!$B$9*(1+Inputs!$B$19)^$A123,0)</f>
        <v>0</v>
      </c>
      <c r="H123" s="6">
        <f>IF($A123=0,0,-SUMPRODUCT((Maintenance!$A$6:$A$55&lt;&gt;"")*(Maintenance!$I$6:$I$55&lt;&gt;"")*($A123=Maintenance!$I$6:$I$55)*Maintenance!$C$6:$C$55*(1+Inputs!$B$19)^$A123)-SUMPRODUCT((Maintenance!$A$6:$A$55&lt;&gt;"")*(Maintenance!$J$6:$J$55&gt;0)*($A123&gt;Maintenance!$I$6:$I$55)*(IFERROR(MOD($A123-Maintenance!$I$6:$I$55,Maintenance!$J$6:$J$55),1)=0)*Maintenance!$C$6:$C$55*(1+Inputs!$B$19)^$A123))</f>
        <v>0</v>
      </c>
      <c r="I123" s="69">
        <f t="shared" si="6"/>
        <v>-2638.5567513148976</v>
      </c>
      <c r="J123" s="68">
        <f>1/(1+Inputs!$B$20)^$A123</f>
        <v>0.62144734090729914</v>
      </c>
      <c r="K123" s="6">
        <f t="shared" si="7"/>
        <v>-1639.7240769376449</v>
      </c>
      <c r="L123" s="6">
        <f>-SUM($I$6:I123)</f>
        <v>393174.16131787631</v>
      </c>
      <c r="M123" s="6">
        <f>-SUM($K$6:K123)</f>
        <v>325966.08862376632</v>
      </c>
    </row>
    <row r="124" spans="1:13" ht="18.2" customHeight="1">
      <c r="A124" s="1">
        <v>118</v>
      </c>
      <c r="B124" s="5">
        <f ca="1">EDATE(Inputs!$B$5,$A124)</f>
        <v>49706</v>
      </c>
      <c r="C124" s="66">
        <f>IF($A124=0,0,Inputs!$B$7)</f>
        <v>1200</v>
      </c>
      <c r="D124" s="6">
        <f>IF($A124=0,-Inputs!$B$4,0)</f>
        <v>0</v>
      </c>
      <c r="E124" s="6">
        <f>IF($A124=0,0,-$C124*Inputs!$B$12/100*Inputs!$B$13*(1+Inputs!$B$19)^$A124)</f>
        <v>-1491.5478992609524</v>
      </c>
      <c r="F124" s="6">
        <f>IF($A124=0,0,-Inputs!$B$10*(1+Inputs!$B$19)^$A124)</f>
        <v>-1152.4438469503425</v>
      </c>
      <c r="G124" s="6">
        <f>IF(AND($A124&gt;0,MOD($A124,12)=0),-Inputs!$B$9*(1+Inputs!$B$19)^$A124,0)</f>
        <v>0</v>
      </c>
      <c r="H124" s="6">
        <f>IF($A124=0,0,-SUMPRODUCT((Maintenance!$A$6:$A$55&lt;&gt;"")*(Maintenance!$I$6:$I$55&lt;&gt;"")*($A124=Maintenance!$I$6:$I$55)*Maintenance!$C$6:$C$55*(1+Inputs!$B$19)^$A124)-SUMPRODUCT((Maintenance!$A$6:$A$55&lt;&gt;"")*(Maintenance!$J$6:$J$55&gt;0)*($A124&gt;Maintenance!$I$6:$I$55)*(IFERROR(MOD($A124-Maintenance!$I$6:$I$55,Maintenance!$J$6:$J$55),1)=0)*Maintenance!$C$6:$C$55*(1+Inputs!$B$19)^$A124))</f>
        <v>0</v>
      </c>
      <c r="I124" s="69">
        <f t="shared" si="6"/>
        <v>-2643.9917462112949</v>
      </c>
      <c r="J124" s="68">
        <f>1/(1+Inputs!$B$20)^$A124</f>
        <v>0.61892576074513461</v>
      </c>
      <c r="K124" s="6">
        <f t="shared" si="7"/>
        <v>-1636.4346029276826</v>
      </c>
      <c r="L124" s="6">
        <f>-SUM($I$6:I124)</f>
        <v>395818.15306408762</v>
      </c>
      <c r="M124" s="6">
        <f>-SUM($K$6:K124)</f>
        <v>327602.52322669403</v>
      </c>
    </row>
    <row r="125" spans="1:13" ht="18.2" customHeight="1">
      <c r="A125" s="1">
        <v>119</v>
      </c>
      <c r="B125" s="5">
        <f ca="1">EDATE(Inputs!$B$5,$A125)</f>
        <v>49735</v>
      </c>
      <c r="C125" s="66">
        <f>IF($A125=0,0,Inputs!$B$7)</f>
        <v>1200</v>
      </c>
      <c r="D125" s="6">
        <f>IF($A125=0,-Inputs!$B$4,0)</f>
        <v>0</v>
      </c>
      <c r="E125" s="6">
        <f>IF($A125=0,0,-$C125*Inputs!$B$12/100*Inputs!$B$13*(1+Inputs!$B$19)^$A125)</f>
        <v>-1494.6202437220577</v>
      </c>
      <c r="F125" s="6">
        <f>IF($A125=0,0,-Inputs!$B$10*(1+Inputs!$B$19)^$A125)</f>
        <v>-1154.8176925852481</v>
      </c>
      <c r="G125" s="6">
        <f>IF(AND($A125&gt;0,MOD($A125,12)=0),-Inputs!$B$9*(1+Inputs!$B$19)^$A125,0)</f>
        <v>0</v>
      </c>
      <c r="H125" s="6">
        <f>IF($A125=0,0,-SUMPRODUCT((Maintenance!$A$6:$A$55&lt;&gt;"")*(Maintenance!$I$6:$I$55&lt;&gt;"")*($A125=Maintenance!$I$6:$I$55)*Maintenance!$C$6:$C$55*(1+Inputs!$B$19)^$A125)-SUMPRODUCT((Maintenance!$A$6:$A$55&lt;&gt;"")*(Maintenance!$J$6:$J$55&gt;0)*($A125&gt;Maintenance!$I$6:$I$55)*(IFERROR(MOD($A125-Maintenance!$I$6:$I$55,Maintenance!$J$6:$J$55),1)=0)*Maintenance!$C$6:$C$55*(1+Inputs!$B$19)^$A125))</f>
        <v>0</v>
      </c>
      <c r="I125" s="69">
        <f t="shared" si="6"/>
        <v>-2649.4379363073058</v>
      </c>
      <c r="J125" s="68">
        <f>1/(1+Inputs!$B$20)^$A125</f>
        <v>0.6164144121281</v>
      </c>
      <c r="K125" s="6">
        <f t="shared" si="7"/>
        <v>-1633.1517279787543</v>
      </c>
      <c r="L125" s="6">
        <f>-SUM($I$6:I125)</f>
        <v>398467.5910003949</v>
      </c>
      <c r="M125" s="6">
        <f>-SUM($K$6:K125)</f>
        <v>329235.67495467281</v>
      </c>
    </row>
    <row r="126" spans="1:13" ht="18.2" customHeight="1">
      <c r="A126" s="1">
        <v>120</v>
      </c>
      <c r="B126" s="5">
        <f ca="1">EDATE(Inputs!$B$5,$A126)</f>
        <v>49766</v>
      </c>
      <c r="C126" s="66">
        <f>IF($A126=0,0,Inputs!$B$7)</f>
        <v>1200</v>
      </c>
      <c r="D126" s="6">
        <f>IF($A126=0,-Inputs!$B$4,0)</f>
        <v>0</v>
      </c>
      <c r="E126" s="6">
        <f>IF($A126=0,0,-$C126*Inputs!$B$12/100*Inputs!$B$13*(1+Inputs!$B$19)^$A126)</f>
        <v>-1497.6989167097179</v>
      </c>
      <c r="F126" s="6">
        <f>IF($A126=0,0,-Inputs!$B$10*(1+Inputs!$B$19)^$A126)</f>
        <v>-1157.1964279534914</v>
      </c>
      <c r="G126" s="6">
        <f>IF(AND($A126&gt;0,MOD($A126,12)=0),-Inputs!$B$9*(1+Inputs!$B$19)^$A126,0)</f>
        <v>-1600.105680245425</v>
      </c>
      <c r="H126" s="6">
        <f>IF($A126=0,0,-SUMPRODUCT((Maintenance!$A$6:$A$55&lt;&gt;"")*(Maintenance!$I$6:$I$55&lt;&gt;"")*($A126=Maintenance!$I$6:$I$55)*Maintenance!$C$6:$C$55*(1+Inputs!$B$19)^$A126)-SUMPRODUCT((Maintenance!$A$6:$A$55&lt;&gt;"")*(Maintenance!$J$6:$J$55&gt;0)*($A126&gt;Maintenance!$I$6:$I$55)*(IFERROR(MOD($A126-Maintenance!$I$6:$I$55,Maintenance!$J$6:$J$55),1)=0)*Maintenance!$C$6:$C$55*(1+Inputs!$B$19)^$A126))</f>
        <v>0</v>
      </c>
      <c r="I126" s="70">
        <f t="shared" si="6"/>
        <v>-4255.0010249086345</v>
      </c>
      <c r="J126" s="68">
        <f>1/(1+Inputs!$B$20)^$A126</f>
        <v>0.61391325354075243</v>
      </c>
      <c r="K126" s="6">
        <f t="shared" si="7"/>
        <v>-2612.2015230208958</v>
      </c>
      <c r="L126" s="6">
        <f>-SUM($I$6:I126)</f>
        <v>402722.59202530351</v>
      </c>
      <c r="M126" s="6">
        <f>-SUM($K$6:K126)</f>
        <v>331847.87647769373</v>
      </c>
    </row>
  </sheetData>
  <mergeCells count="3">
    <mergeCell ref="A1:M1"/>
    <mergeCell ref="B2:M2"/>
    <mergeCell ref="B3:M3"/>
  </mergeCells>
  <conditionalFormatting sqref="L6:M126">
    <cfRule type="dataBar" priority="2">
      <dataBar>
        <cfvo type="min"/>
        <cfvo type="max"/>
        <color rgb="FFA02B93"/>
      </dataBar>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C10" sqref="C10"/>
    </sheetView>
  </sheetViews>
  <sheetFormatPr defaultRowHeight="14.3"/>
  <cols>
    <col min="1" max="1" width="18" style="1" customWidth="1"/>
    <col min="2" max="2" width="90" style="1" customWidth="1"/>
    <col min="3" max="8" width="14" style="1" customWidth="1"/>
    <col min="9" max="16384" width="8.88671875" style="1"/>
  </cols>
  <sheetData>
    <row r="1" spans="1:8" ht="23.6" customHeight="1">
      <c r="A1" s="99" t="s">
        <v>150</v>
      </c>
      <c r="B1" s="100"/>
      <c r="C1" s="100"/>
      <c r="D1" s="100"/>
      <c r="E1" s="100"/>
      <c r="F1" s="100"/>
      <c r="G1" s="100"/>
      <c r="H1" s="101"/>
    </row>
    <row r="3" spans="1:8" ht="28.55">
      <c r="A3" s="19" t="s">
        <v>151</v>
      </c>
      <c r="B3" s="21"/>
    </row>
    <row r="4" spans="1:8" ht="28.55">
      <c r="A4" s="26" t="s">
        <v>152</v>
      </c>
      <c r="B4" s="26" t="s">
        <v>153</v>
      </c>
    </row>
    <row r="5" spans="1:8" ht="28.55">
      <c r="A5" s="26" t="s">
        <v>154</v>
      </c>
      <c r="B5" s="26" t="s">
        <v>155</v>
      </c>
    </row>
    <row r="6" spans="1:8" ht="28.55">
      <c r="A6" s="26" t="s">
        <v>156</v>
      </c>
      <c r="B6" s="26" t="s">
        <v>157</v>
      </c>
    </row>
    <row r="7" spans="1:8" ht="28.55">
      <c r="A7" s="26" t="s">
        <v>158</v>
      </c>
      <c r="B7" s="26" t="s">
        <v>159</v>
      </c>
    </row>
    <row r="8" spans="1:8" ht="28.55">
      <c r="A8" s="26" t="s">
        <v>160</v>
      </c>
      <c r="B8" s="26" t="s">
        <v>161</v>
      </c>
    </row>
    <row r="9" spans="1:8" ht="21.75" customHeight="1">
      <c r="A9" s="19" t="s">
        <v>162</v>
      </c>
      <c r="B9" s="21"/>
    </row>
    <row r="10" spans="1:8" ht="28.55">
      <c r="A10" s="26" t="s">
        <v>163</v>
      </c>
      <c r="B10" s="26" t="s">
        <v>164</v>
      </c>
    </row>
    <row r="11" spans="1:8" ht="28.55">
      <c r="A11" s="26" t="s">
        <v>165</v>
      </c>
      <c r="B11" s="26" t="s">
        <v>166</v>
      </c>
    </row>
    <row r="12" spans="1:8">
      <c r="A12" s="26" t="s">
        <v>167</v>
      </c>
      <c r="B12" s="26" t="s">
        <v>168</v>
      </c>
    </row>
    <row r="13" spans="1:8" ht="42.8">
      <c r="A13" s="19" t="s">
        <v>169</v>
      </c>
      <c r="B13" s="21"/>
    </row>
    <row r="14" spans="1:8" ht="21.75" customHeight="1"/>
    <row r="15" spans="1:8" ht="21.75" customHeight="1">
      <c r="A15" s="108" t="s">
        <v>170</v>
      </c>
      <c r="B15" s="109"/>
      <c r="C15" s="109"/>
      <c r="D15" s="109"/>
      <c r="E15" s="109"/>
      <c r="F15" s="109"/>
      <c r="G15" s="109"/>
      <c r="H15" s="110"/>
    </row>
    <row r="16" spans="1:8" ht="21.75" customHeight="1">
      <c r="A16" s="111"/>
      <c r="B16" s="112"/>
      <c r="C16" s="112"/>
      <c r="D16" s="112"/>
      <c r="E16" s="112"/>
      <c r="F16" s="112"/>
      <c r="G16" s="112"/>
      <c r="H16" s="113"/>
    </row>
    <row r="17" spans="1:8" ht="21.75" customHeight="1">
      <c r="A17" s="111"/>
      <c r="B17" s="112"/>
      <c r="C17" s="112"/>
      <c r="D17" s="112"/>
      <c r="E17" s="112"/>
      <c r="F17" s="112"/>
      <c r="G17" s="112"/>
      <c r="H17" s="113"/>
    </row>
    <row r="18" spans="1:8" ht="21.75" customHeight="1">
      <c r="A18" s="111"/>
      <c r="B18" s="112"/>
      <c r="C18" s="112"/>
      <c r="D18" s="112"/>
      <c r="E18" s="112"/>
      <c r="F18" s="112"/>
      <c r="G18" s="112"/>
      <c r="H18" s="113"/>
    </row>
    <row r="19" spans="1:8" ht="21.75" customHeight="1">
      <c r="A19" s="111"/>
      <c r="B19" s="112"/>
      <c r="C19" s="112"/>
      <c r="D19" s="112"/>
      <c r="E19" s="112"/>
      <c r="F19" s="112"/>
      <c r="G19" s="112"/>
      <c r="H19" s="113"/>
    </row>
    <row r="20" spans="1:8" ht="21.75" customHeight="1">
      <c r="A20" s="111"/>
      <c r="B20" s="112"/>
      <c r="C20" s="112"/>
      <c r="D20" s="112"/>
      <c r="E20" s="112"/>
      <c r="F20" s="112"/>
      <c r="G20" s="112"/>
      <c r="H20" s="113"/>
    </row>
    <row r="21" spans="1:8" ht="21.75" customHeight="1">
      <c r="A21" s="111"/>
      <c r="B21" s="112"/>
      <c r="C21" s="112"/>
      <c r="D21" s="112"/>
      <c r="E21" s="112"/>
      <c r="F21" s="112"/>
      <c r="G21" s="112"/>
      <c r="H21" s="113"/>
    </row>
    <row r="22" spans="1:8" ht="21.75" customHeight="1">
      <c r="A22" s="111"/>
      <c r="B22" s="112"/>
      <c r="C22" s="112"/>
      <c r="D22" s="112"/>
      <c r="E22" s="112"/>
      <c r="F22" s="112"/>
      <c r="G22" s="112"/>
      <c r="H22" s="113"/>
    </row>
    <row r="23" spans="1:8" ht="21.75" customHeight="1">
      <c r="A23" s="111"/>
      <c r="B23" s="112"/>
      <c r="C23" s="112"/>
      <c r="D23" s="112"/>
      <c r="E23" s="112"/>
      <c r="F23" s="112"/>
      <c r="G23" s="112"/>
      <c r="H23" s="113"/>
    </row>
    <row r="24" spans="1:8" ht="21.75" customHeight="1">
      <c r="A24" s="111"/>
      <c r="B24" s="112"/>
      <c r="C24" s="112"/>
      <c r="D24" s="112"/>
      <c r="E24" s="112"/>
      <c r="F24" s="112"/>
      <c r="G24" s="112"/>
      <c r="H24" s="113"/>
    </row>
    <row r="25" spans="1:8" ht="21.75" customHeight="1">
      <c r="A25" s="111"/>
      <c r="B25" s="112"/>
      <c r="C25" s="112"/>
      <c r="D25" s="112"/>
      <c r="E25" s="112"/>
      <c r="F25" s="112"/>
      <c r="G25" s="112"/>
      <c r="H25" s="113"/>
    </row>
    <row r="26" spans="1:8" ht="21.75" customHeight="1">
      <c r="A26" s="111"/>
      <c r="B26" s="112"/>
      <c r="C26" s="112"/>
      <c r="D26" s="112"/>
      <c r="E26" s="112"/>
      <c r="F26" s="112"/>
      <c r="G26" s="112"/>
      <c r="H26" s="113"/>
    </row>
    <row r="27" spans="1:8" ht="21.75" customHeight="1">
      <c r="A27" s="111"/>
      <c r="B27" s="112"/>
      <c r="C27" s="112"/>
      <c r="D27" s="112"/>
      <c r="E27" s="112"/>
      <c r="F27" s="112"/>
      <c r="G27" s="112"/>
      <c r="H27" s="113"/>
    </row>
    <row r="28" spans="1:8" ht="21.75" customHeight="1">
      <c r="A28" s="114"/>
      <c r="B28" s="115"/>
      <c r="C28" s="115"/>
      <c r="D28" s="115"/>
      <c r="E28" s="115"/>
      <c r="F28" s="115"/>
      <c r="G28" s="115"/>
      <c r="H28" s="116"/>
    </row>
    <row r="29" spans="1:8" ht="21.75" customHeight="1"/>
    <row r="30" spans="1:8" ht="42.8">
      <c r="A30" s="22" t="s">
        <v>171</v>
      </c>
      <c r="B30" s="71"/>
      <c r="C30" s="71"/>
      <c r="D30" s="71"/>
      <c r="E30" s="71"/>
      <c r="F30" s="71"/>
      <c r="G30" s="71"/>
      <c r="H30" s="23"/>
    </row>
    <row r="31" spans="1:8" ht="21.75" customHeight="1">
      <c r="A31" s="1" t="s">
        <v>172</v>
      </c>
      <c r="B31" s="1" t="s">
        <v>43</v>
      </c>
    </row>
    <row r="32" spans="1:8" ht="21.75" customHeight="1">
      <c r="A32" s="1" t="s">
        <v>39</v>
      </c>
      <c r="B32" s="1" t="s">
        <v>49</v>
      </c>
    </row>
    <row r="33" spans="1:2" ht="21.75" customHeight="1">
      <c r="A33" s="1" t="s">
        <v>173</v>
      </c>
      <c r="B33" s="1" t="s">
        <v>174</v>
      </c>
    </row>
  </sheetData>
  <mergeCells count="2">
    <mergeCell ref="A1:H1"/>
    <mergeCell ref="A15: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Inputs</vt:lpstr>
      <vt:lpstr>Maintenance</vt:lpstr>
      <vt:lpstr>Cashflow</vt:lpstr>
      <vt:lpstr>Help - Prompt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Manuel Alvarez</cp:lastModifiedBy>
  <dcterms:modified xsi:type="dcterms:W3CDTF">2026-04-19T21:42:29Z</dcterms:modified>
</cp:coreProperties>
</file>