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nolo\Documents\SFL\Seminars on Financial Literacy 2.0\"/>
    </mc:Choice>
  </mc:AlternateContent>
  <xr:revisionPtr revIDLastSave="0" documentId="13_ncr:1_{37DC57EA-29CC-4FDF-9B90-9E23FB48EE72}" xr6:coauthVersionLast="47" xr6:coauthVersionMax="47" xr10:uidLastSave="{00000000-0000-0000-0000-000000000000}"/>
  <bookViews>
    <workbookView xWindow="-109" yWindow="-109" windowWidth="26301" windowHeight="14305" activeTab="3" xr2:uid="{00000000-000D-0000-FFFF-FFFF00000000}"/>
  </bookViews>
  <sheets>
    <sheet name="Help - Instructions" sheetId="1" r:id="rId1"/>
    <sheet name="Debt vs Invest" sheetId="3" r:id="rId2"/>
    <sheet name="Subscription Audit" sheetId="4" r:id="rId3"/>
    <sheet name="Cheap vs Durable Appliance" sheetId="5" r:id="rId4"/>
  </sheets>
  <calcPr calcId="181029"/>
</workbook>
</file>

<file path=xl/calcChain.xml><?xml version="1.0" encoding="utf-8"?>
<calcChain xmlns="http://schemas.openxmlformats.org/spreadsheetml/2006/main">
  <c r="E13" i="3" l="1"/>
  <c r="P9" i="3"/>
  <c r="Q9" i="3" s="1"/>
  <c r="Q13" i="4"/>
  <c r="S29" i="5"/>
  <c r="S28" i="5"/>
  <c r="S27" i="5"/>
  <c r="S26" i="5"/>
  <c r="K14" i="5"/>
  <c r="K13" i="5"/>
  <c r="Q12" i="5"/>
  <c r="T12" i="5" s="1"/>
  <c r="K12" i="5"/>
  <c r="E6" i="5"/>
  <c r="J25" i="4"/>
  <c r="K25" i="4" s="1"/>
  <c r="F25" i="4"/>
  <c r="J24" i="4"/>
  <c r="P24" i="4" s="1"/>
  <c r="F24" i="4"/>
  <c r="L23" i="4"/>
  <c r="J23" i="4"/>
  <c r="K23" i="4" s="1"/>
  <c r="F23" i="4"/>
  <c r="J22" i="4"/>
  <c r="F22" i="4"/>
  <c r="L21" i="4"/>
  <c r="J21" i="4"/>
  <c r="K21" i="4" s="1"/>
  <c r="F21" i="4"/>
  <c r="J20" i="4"/>
  <c r="K20" i="4" s="1"/>
  <c r="N20" i="4" s="1"/>
  <c r="F20" i="4"/>
  <c r="J19" i="4"/>
  <c r="P19" i="4" s="1"/>
  <c r="F19" i="4"/>
  <c r="J18" i="4"/>
  <c r="L18" i="4" s="1"/>
  <c r="F18" i="4"/>
  <c r="L17" i="4"/>
  <c r="J17" i="4"/>
  <c r="P17" i="4" s="1"/>
  <c r="F17" i="4"/>
  <c r="L16" i="4"/>
  <c r="K16" i="4"/>
  <c r="J16" i="4"/>
  <c r="P16" i="4" s="1"/>
  <c r="F16" i="4"/>
  <c r="J15" i="4"/>
  <c r="P15" i="4" s="1"/>
  <c r="F15" i="4"/>
  <c r="J14" i="4"/>
  <c r="K14" i="4" s="1"/>
  <c r="F14" i="4"/>
  <c r="J13" i="4"/>
  <c r="P13" i="4" s="1"/>
  <c r="F13" i="4"/>
  <c r="J12" i="4"/>
  <c r="F12" i="4"/>
  <c r="J11" i="4"/>
  <c r="L11" i="4" s="1"/>
  <c r="F11" i="4"/>
  <c r="A27" i="3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5" i="3"/>
  <c r="A26" i="3" s="1"/>
  <c r="L24" i="3"/>
  <c r="K24" i="3"/>
  <c r="J24" i="3"/>
  <c r="K25" i="3" s="1"/>
  <c r="H24" i="3"/>
  <c r="G24" i="3"/>
  <c r="F24" i="3"/>
  <c r="G25" i="3" s="1"/>
  <c r="D24" i="3"/>
  <c r="C24" i="3"/>
  <c r="B24" i="3"/>
  <c r="E24" i="3" s="1"/>
  <c r="P208" i="3" s="1"/>
  <c r="A24" i="3"/>
  <c r="B19" i="3"/>
  <c r="B18" i="3"/>
  <c r="R9" i="3"/>
  <c r="R8" i="3"/>
  <c r="P8" i="3"/>
  <c r="Q8" i="3" s="1"/>
  <c r="R7" i="3"/>
  <c r="P7" i="3"/>
  <c r="Q7" i="3" s="1"/>
  <c r="I24" i="3" l="1"/>
  <c r="Q208" i="3" s="1"/>
  <c r="H25" i="3"/>
  <c r="M24" i="3"/>
  <c r="R208" i="3" s="1"/>
  <c r="C25" i="3"/>
  <c r="J25" i="3"/>
  <c r="K26" i="3" s="1"/>
  <c r="K13" i="4"/>
  <c r="L20" i="4"/>
  <c r="K15" i="4"/>
  <c r="R15" i="4" s="1"/>
  <c r="L15" i="4"/>
  <c r="L13" i="4"/>
  <c r="N25" i="4"/>
  <c r="U13" i="4"/>
  <c r="Q14" i="4"/>
  <c r="K17" i="4"/>
  <c r="M17" i="4" s="1"/>
  <c r="L14" i="4"/>
  <c r="P14" i="4"/>
  <c r="R14" i="4" s="1"/>
  <c r="N17" i="4"/>
  <c r="O23" i="4"/>
  <c r="L25" i="4"/>
  <c r="O15" i="4"/>
  <c r="P20" i="4"/>
  <c r="L25" i="3"/>
  <c r="D25" i="3"/>
  <c r="B25" i="3"/>
  <c r="F25" i="3"/>
  <c r="L22" i="4"/>
  <c r="K22" i="4"/>
  <c r="O22" i="4" s="1"/>
  <c r="M13" i="4"/>
  <c r="M14" i="4"/>
  <c r="O14" i="4"/>
  <c r="R17" i="4"/>
  <c r="Q17" i="4"/>
  <c r="P22" i="4"/>
  <c r="L24" i="4"/>
  <c r="K24" i="4"/>
  <c r="O24" i="4" s="1"/>
  <c r="U16" i="4"/>
  <c r="O16" i="4"/>
  <c r="M16" i="4"/>
  <c r="Q16" i="4"/>
  <c r="L19" i="4"/>
  <c r="K19" i="4"/>
  <c r="M19" i="4" s="1"/>
  <c r="O21" i="4"/>
  <c r="K12" i="4"/>
  <c r="P12" i="4"/>
  <c r="U12" i="4"/>
  <c r="R13" i="4"/>
  <c r="Q21" i="4"/>
  <c r="M21" i="4"/>
  <c r="K11" i="4"/>
  <c r="P11" i="4"/>
  <c r="L12" i="4"/>
  <c r="M15" i="4"/>
  <c r="N16" i="4"/>
  <c r="O17" i="4"/>
  <c r="U17" i="4"/>
  <c r="Q23" i="4"/>
  <c r="M23" i="4"/>
  <c r="O25" i="4"/>
  <c r="N13" i="4"/>
  <c r="N14" i="4"/>
  <c r="N21" i="4"/>
  <c r="Q25" i="4"/>
  <c r="M25" i="4"/>
  <c r="O13" i="4"/>
  <c r="Q15" i="4"/>
  <c r="R16" i="4"/>
  <c r="P18" i="4"/>
  <c r="K18" i="4"/>
  <c r="O18" i="4" s="1"/>
  <c r="M20" i="4"/>
  <c r="R20" i="4"/>
  <c r="Q20" i="4"/>
  <c r="O20" i="4"/>
  <c r="N23" i="4"/>
  <c r="P21" i="4"/>
  <c r="R21" i="4" s="1"/>
  <c r="P23" i="4"/>
  <c r="R23" i="4" s="1"/>
  <c r="P25" i="4"/>
  <c r="R25" i="4" s="1"/>
  <c r="R12" i="5"/>
  <c r="Q13" i="5"/>
  <c r="M24" i="4"/>
  <c r="S12" i="5"/>
  <c r="J26" i="3" l="1"/>
  <c r="O19" i="4"/>
  <c r="N15" i="4"/>
  <c r="M22" i="4"/>
  <c r="M18" i="4"/>
  <c r="G26" i="3"/>
  <c r="F26" i="3"/>
  <c r="K27" i="3"/>
  <c r="J27" i="3"/>
  <c r="N12" i="4"/>
  <c r="R12" i="4"/>
  <c r="Q12" i="4"/>
  <c r="U29" i="4"/>
  <c r="U25" i="4"/>
  <c r="U23" i="4"/>
  <c r="U21" i="4"/>
  <c r="U28" i="4"/>
  <c r="U11" i="4"/>
  <c r="U27" i="4"/>
  <c r="U24" i="4"/>
  <c r="U22" i="4"/>
  <c r="U30" i="4"/>
  <c r="U26" i="4"/>
  <c r="R11" i="4"/>
  <c r="O11" i="4"/>
  <c r="Q11" i="4"/>
  <c r="B26" i="3"/>
  <c r="C26" i="3"/>
  <c r="N19" i="4"/>
  <c r="U14" i="4"/>
  <c r="Q19" i="4"/>
  <c r="R19" i="4"/>
  <c r="N24" i="4"/>
  <c r="Q24" i="4"/>
  <c r="R24" i="4"/>
  <c r="E25" i="3"/>
  <c r="P209" i="3" s="1"/>
  <c r="D26" i="3"/>
  <c r="N11" i="4"/>
  <c r="M12" i="4"/>
  <c r="T13" i="5"/>
  <c r="S13" i="5"/>
  <c r="Q14" i="5"/>
  <c r="R13" i="5"/>
  <c r="O12" i="4"/>
  <c r="M25" i="3"/>
  <c r="R209" i="3" s="1"/>
  <c r="L26" i="3"/>
  <c r="M11" i="4"/>
  <c r="N22" i="4"/>
  <c r="Q22" i="4"/>
  <c r="R22" i="4"/>
  <c r="U15" i="4"/>
  <c r="I25" i="3"/>
  <c r="Q209" i="3" s="1"/>
  <c r="H26" i="3"/>
  <c r="Q18" i="4"/>
  <c r="N18" i="4"/>
  <c r="R18" i="4"/>
  <c r="T14" i="5" l="1"/>
  <c r="S14" i="5"/>
  <c r="R14" i="5"/>
  <c r="Q15" i="5"/>
  <c r="U39" i="4"/>
  <c r="V36" i="4"/>
  <c r="T39" i="4"/>
  <c r="U36" i="4"/>
  <c r="V38" i="4"/>
  <c r="T36" i="4"/>
  <c r="U38" i="4"/>
  <c r="V35" i="4"/>
  <c r="T38" i="4"/>
  <c r="U35" i="4"/>
  <c r="V37" i="4"/>
  <c r="T35" i="4"/>
  <c r="V39" i="4"/>
  <c r="T37" i="4"/>
  <c r="U37" i="4"/>
  <c r="K28" i="3"/>
  <c r="J28" i="3"/>
  <c r="I26" i="3"/>
  <c r="Q210" i="3" s="1"/>
  <c r="H27" i="3"/>
  <c r="D27" i="3"/>
  <c r="E26" i="3"/>
  <c r="P210" i="3" s="1"/>
  <c r="V29" i="4"/>
  <c r="V25" i="4"/>
  <c r="V28" i="4"/>
  <c r="V27" i="4"/>
  <c r="V24" i="4"/>
  <c r="V22" i="4"/>
  <c r="V21" i="4"/>
  <c r="V30" i="4"/>
  <c r="V26" i="4"/>
  <c r="V23" i="4"/>
  <c r="G27" i="3"/>
  <c r="F27" i="3"/>
  <c r="L27" i="3"/>
  <c r="M26" i="3"/>
  <c r="R210" i="3" s="1"/>
  <c r="C27" i="3"/>
  <c r="B27" i="3"/>
  <c r="G28" i="3" l="1"/>
  <c r="F28" i="3"/>
  <c r="H28" i="3"/>
  <c r="I27" i="3"/>
  <c r="Q211" i="3" s="1"/>
  <c r="C28" i="3"/>
  <c r="B28" i="3"/>
  <c r="K29" i="3"/>
  <c r="J29" i="3"/>
  <c r="M27" i="3"/>
  <c r="R211" i="3" s="1"/>
  <c r="L28" i="3"/>
  <c r="Q16" i="5"/>
  <c r="T15" i="5"/>
  <c r="S15" i="5"/>
  <c r="R15" i="5"/>
  <c r="E27" i="3"/>
  <c r="P211" i="3" s="1"/>
  <c r="D28" i="3"/>
  <c r="K30" i="3" l="1"/>
  <c r="J30" i="3"/>
  <c r="C29" i="3"/>
  <c r="B29" i="3"/>
  <c r="E28" i="3"/>
  <c r="P212" i="3" s="1"/>
  <c r="D29" i="3"/>
  <c r="T16" i="5"/>
  <c r="S16" i="5"/>
  <c r="R16" i="5"/>
  <c r="Q17" i="5"/>
  <c r="F29" i="3"/>
  <c r="G29" i="3"/>
  <c r="M28" i="3"/>
  <c r="R212" i="3" s="1"/>
  <c r="L29" i="3"/>
  <c r="H29" i="3"/>
  <c r="I28" i="3"/>
  <c r="Q212" i="3" s="1"/>
  <c r="F30" i="3" l="1"/>
  <c r="G30" i="3"/>
  <c r="C30" i="3"/>
  <c r="B30" i="3"/>
  <c r="Q18" i="5"/>
  <c r="T17" i="5"/>
  <c r="S17" i="5"/>
  <c r="R17" i="5"/>
  <c r="K31" i="3"/>
  <c r="J31" i="3"/>
  <c r="I29" i="3"/>
  <c r="Q213" i="3" s="1"/>
  <c r="H30" i="3"/>
  <c r="L30" i="3"/>
  <c r="M29" i="3"/>
  <c r="R213" i="3" s="1"/>
  <c r="D30" i="3"/>
  <c r="E29" i="3"/>
  <c r="P213" i="3" s="1"/>
  <c r="E30" i="3" l="1"/>
  <c r="P214" i="3" s="1"/>
  <c r="D31" i="3"/>
  <c r="H31" i="3"/>
  <c r="I30" i="3"/>
  <c r="Q214" i="3" s="1"/>
  <c r="M30" i="3"/>
  <c r="R214" i="3" s="1"/>
  <c r="L31" i="3"/>
  <c r="C31" i="3"/>
  <c r="B31" i="3"/>
  <c r="G31" i="3"/>
  <c r="F31" i="3"/>
  <c r="K32" i="3"/>
  <c r="J32" i="3"/>
  <c r="T18" i="5"/>
  <c r="S18" i="5"/>
  <c r="R18" i="5"/>
  <c r="Q19" i="5"/>
  <c r="L32" i="3" l="1"/>
  <c r="M31" i="3"/>
  <c r="R215" i="3" s="1"/>
  <c r="Q20" i="5"/>
  <c r="T19" i="5"/>
  <c r="S19" i="5"/>
  <c r="R19" i="5"/>
  <c r="I31" i="3"/>
  <c r="Q215" i="3" s="1"/>
  <c r="H32" i="3"/>
  <c r="D32" i="3"/>
  <c r="E31" i="3"/>
  <c r="P215" i="3" s="1"/>
  <c r="G32" i="3"/>
  <c r="F32" i="3"/>
  <c r="J33" i="3"/>
  <c r="K33" i="3"/>
  <c r="C32" i="3"/>
  <c r="B32" i="3"/>
  <c r="L33" i="3" l="1"/>
  <c r="M32" i="3"/>
  <c r="R216" i="3" s="1"/>
  <c r="B33" i="3"/>
  <c r="C33" i="3"/>
  <c r="I32" i="3"/>
  <c r="Q216" i="3" s="1"/>
  <c r="H33" i="3"/>
  <c r="D33" i="3"/>
  <c r="E32" i="3"/>
  <c r="P216" i="3" s="1"/>
  <c r="J34" i="3"/>
  <c r="K34" i="3"/>
  <c r="G33" i="3"/>
  <c r="F33" i="3"/>
  <c r="T20" i="5"/>
  <c r="S20" i="5"/>
  <c r="R20" i="5"/>
  <c r="Q21" i="5"/>
  <c r="B34" i="3" l="1"/>
  <c r="C34" i="3"/>
  <c r="K35" i="3"/>
  <c r="J35" i="3"/>
  <c r="M33" i="3"/>
  <c r="R217" i="3" s="1"/>
  <c r="L34" i="3"/>
  <c r="H34" i="3"/>
  <c r="I33" i="3"/>
  <c r="Q217" i="3" s="1"/>
  <c r="Q22" i="5"/>
  <c r="T21" i="5"/>
  <c r="S21" i="5"/>
  <c r="R21" i="5"/>
  <c r="G34" i="3"/>
  <c r="F34" i="3"/>
  <c r="E33" i="3"/>
  <c r="P217" i="3" s="1"/>
  <c r="D34" i="3"/>
  <c r="K36" i="3" l="1"/>
  <c r="J36" i="3"/>
  <c r="L35" i="3"/>
  <c r="M34" i="3"/>
  <c r="R218" i="3" s="1"/>
  <c r="D35" i="3"/>
  <c r="E34" i="3"/>
  <c r="P218" i="3" s="1"/>
  <c r="T22" i="5"/>
  <c r="S22" i="5"/>
  <c r="R22" i="5"/>
  <c r="G35" i="3"/>
  <c r="F35" i="3"/>
  <c r="I34" i="3"/>
  <c r="Q218" i="3" s="1"/>
  <c r="H35" i="3"/>
  <c r="C35" i="3"/>
  <c r="B35" i="3"/>
  <c r="H36" i="3" l="1"/>
  <c r="I35" i="3"/>
  <c r="Q219" i="3" s="1"/>
  <c r="M35" i="3"/>
  <c r="R219" i="3" s="1"/>
  <c r="L36" i="3"/>
  <c r="G36" i="3"/>
  <c r="F36" i="3"/>
  <c r="M12" i="5"/>
  <c r="L12" i="5"/>
  <c r="O12" i="5" s="1"/>
  <c r="E35" i="3"/>
  <c r="P219" i="3" s="1"/>
  <c r="D36" i="3"/>
  <c r="C36" i="3"/>
  <c r="B36" i="3"/>
  <c r="L13" i="5"/>
  <c r="O13" i="5" s="1"/>
  <c r="M13" i="5"/>
  <c r="M14" i="5"/>
  <c r="N14" i="5" s="1"/>
  <c r="L14" i="5"/>
  <c r="O14" i="5" s="1"/>
  <c r="K37" i="3"/>
  <c r="J37" i="3"/>
  <c r="C37" i="3" l="1"/>
  <c r="B37" i="3"/>
  <c r="M36" i="3"/>
  <c r="R220" i="3" s="1"/>
  <c r="L37" i="3"/>
  <c r="E36" i="3"/>
  <c r="P220" i="3" s="1"/>
  <c r="D37" i="3"/>
  <c r="E7" i="5"/>
  <c r="N12" i="5"/>
  <c r="E8" i="5" s="1"/>
  <c r="H37" i="3"/>
  <c r="I36" i="3"/>
  <c r="Q220" i="3" s="1"/>
  <c r="U28" i="5"/>
  <c r="V27" i="5"/>
  <c r="U27" i="5"/>
  <c r="V29" i="5"/>
  <c r="U29" i="5"/>
  <c r="V26" i="5"/>
  <c r="U26" i="5"/>
  <c r="N13" i="5"/>
  <c r="V28" i="5"/>
  <c r="K38" i="3"/>
  <c r="J38" i="3"/>
  <c r="F37" i="3"/>
  <c r="G37" i="3"/>
  <c r="L38" i="3" l="1"/>
  <c r="M37" i="3"/>
  <c r="I37" i="3"/>
  <c r="H38" i="3"/>
  <c r="E9" i="5"/>
  <c r="D38" i="3"/>
  <c r="E37" i="3"/>
  <c r="K39" i="3"/>
  <c r="J39" i="3"/>
  <c r="C38" i="3"/>
  <c r="B38" i="3"/>
  <c r="F38" i="3"/>
  <c r="G38" i="3"/>
  <c r="H39" i="3" l="1"/>
  <c r="I38" i="3"/>
  <c r="G39" i="3"/>
  <c r="F39" i="3"/>
  <c r="C39" i="3"/>
  <c r="B39" i="3"/>
  <c r="M38" i="3"/>
  <c r="L39" i="3"/>
  <c r="E38" i="3"/>
  <c r="D39" i="3"/>
  <c r="K40" i="3"/>
  <c r="J40" i="3"/>
  <c r="J41" i="3" l="1"/>
  <c r="K41" i="3"/>
  <c r="G40" i="3"/>
  <c r="F40" i="3"/>
  <c r="D40" i="3"/>
  <c r="E39" i="3"/>
  <c r="L40" i="3"/>
  <c r="M39" i="3"/>
  <c r="C40" i="3"/>
  <c r="B40" i="3"/>
  <c r="I39" i="3"/>
  <c r="H40" i="3"/>
  <c r="G41" i="3" l="1"/>
  <c r="F41" i="3"/>
  <c r="B41" i="3"/>
  <c r="C41" i="3"/>
  <c r="I40" i="3"/>
  <c r="H41" i="3"/>
  <c r="L41" i="3"/>
  <c r="M40" i="3"/>
  <c r="D41" i="3"/>
  <c r="E40" i="3"/>
  <c r="J42" i="3"/>
  <c r="K42" i="3"/>
  <c r="M41" i="3" l="1"/>
  <c r="L42" i="3"/>
  <c r="E41" i="3"/>
  <c r="D42" i="3"/>
  <c r="B42" i="3"/>
  <c r="C42" i="3"/>
  <c r="G42" i="3"/>
  <c r="F42" i="3"/>
  <c r="H42" i="3"/>
  <c r="I41" i="3"/>
  <c r="K43" i="3"/>
  <c r="J43" i="3"/>
  <c r="K44" i="3" l="1"/>
  <c r="J44" i="3"/>
  <c r="D43" i="3"/>
  <c r="E42" i="3"/>
  <c r="I42" i="3"/>
  <c r="H43" i="3"/>
  <c r="G43" i="3"/>
  <c r="F43" i="3"/>
  <c r="C43" i="3"/>
  <c r="B43" i="3"/>
  <c r="L43" i="3"/>
  <c r="M42" i="3"/>
  <c r="E43" i="3" l="1"/>
  <c r="D44" i="3"/>
  <c r="K45" i="3"/>
  <c r="J45" i="3"/>
  <c r="C44" i="3"/>
  <c r="B44" i="3"/>
  <c r="M43" i="3"/>
  <c r="L44" i="3"/>
  <c r="G44" i="3"/>
  <c r="F44" i="3"/>
  <c r="H44" i="3"/>
  <c r="I43" i="3"/>
  <c r="M44" i="3" l="1"/>
  <c r="L45" i="3"/>
  <c r="C45" i="3"/>
  <c r="B45" i="3"/>
  <c r="F45" i="3"/>
  <c r="G45" i="3"/>
  <c r="K46" i="3"/>
  <c r="J46" i="3"/>
  <c r="H45" i="3"/>
  <c r="I44" i="3"/>
  <c r="E44" i="3"/>
  <c r="D45" i="3"/>
  <c r="I45" i="3" l="1"/>
  <c r="H46" i="3"/>
  <c r="C46" i="3"/>
  <c r="B46" i="3"/>
  <c r="F46" i="3"/>
  <c r="G46" i="3"/>
  <c r="K47" i="3"/>
  <c r="J47" i="3"/>
  <c r="D46" i="3"/>
  <c r="E45" i="3"/>
  <c r="L46" i="3"/>
  <c r="M45" i="3"/>
  <c r="E46" i="3" l="1"/>
  <c r="D47" i="3"/>
  <c r="M46" i="3"/>
  <c r="L47" i="3"/>
  <c r="G47" i="3"/>
  <c r="F47" i="3"/>
  <c r="K48" i="3"/>
  <c r="J48" i="3"/>
  <c r="C47" i="3"/>
  <c r="B47" i="3"/>
  <c r="H47" i="3"/>
  <c r="I46" i="3"/>
  <c r="D48" i="3" l="1"/>
  <c r="E47" i="3"/>
  <c r="J49" i="3"/>
  <c r="K49" i="3"/>
  <c r="G48" i="3"/>
  <c r="F48" i="3"/>
  <c r="I47" i="3"/>
  <c r="H48" i="3"/>
  <c r="C48" i="3"/>
  <c r="B48" i="3"/>
  <c r="L48" i="3"/>
  <c r="M47" i="3"/>
  <c r="M48" i="3" l="1"/>
  <c r="L49" i="3"/>
  <c r="H49" i="3"/>
  <c r="I48" i="3"/>
  <c r="K50" i="3"/>
  <c r="J50" i="3"/>
  <c r="B49" i="3"/>
  <c r="C49" i="3"/>
  <c r="D49" i="3"/>
  <c r="E48" i="3"/>
  <c r="G49" i="3"/>
  <c r="F49" i="3"/>
  <c r="J51" i="3" l="1"/>
  <c r="K51" i="3"/>
  <c r="D50" i="3"/>
  <c r="E49" i="3"/>
  <c r="C50" i="3"/>
  <c r="B50" i="3"/>
  <c r="I49" i="3"/>
  <c r="H50" i="3"/>
  <c r="M49" i="3"/>
  <c r="L50" i="3"/>
  <c r="G50" i="3"/>
  <c r="F50" i="3"/>
  <c r="M50" i="3" l="1"/>
  <c r="L51" i="3"/>
  <c r="K52" i="3"/>
  <c r="J52" i="3"/>
  <c r="G51" i="3"/>
  <c r="F51" i="3"/>
  <c r="H51" i="3"/>
  <c r="I50" i="3"/>
  <c r="C51" i="3"/>
  <c r="B51" i="3"/>
  <c r="E50" i="3"/>
  <c r="D51" i="3"/>
  <c r="D52" i="3" l="1"/>
  <c r="E51" i="3"/>
  <c r="M51" i="3"/>
  <c r="L52" i="3"/>
  <c r="C52" i="3"/>
  <c r="B52" i="3"/>
  <c r="G52" i="3"/>
  <c r="F52" i="3"/>
  <c r="K53" i="3"/>
  <c r="J53" i="3"/>
  <c r="H52" i="3"/>
  <c r="I51" i="3"/>
  <c r="I52" i="3" l="1"/>
  <c r="H53" i="3"/>
  <c r="F53" i="3"/>
  <c r="G53" i="3"/>
  <c r="L53" i="3"/>
  <c r="M52" i="3"/>
  <c r="K54" i="3"/>
  <c r="J54" i="3"/>
  <c r="C53" i="3"/>
  <c r="B53" i="3"/>
  <c r="D53" i="3"/>
  <c r="E52" i="3"/>
  <c r="H54" i="3" l="1"/>
  <c r="I53" i="3"/>
  <c r="G54" i="3"/>
  <c r="F54" i="3"/>
  <c r="K55" i="3"/>
  <c r="J55" i="3"/>
  <c r="E53" i="3"/>
  <c r="D54" i="3"/>
  <c r="C54" i="3"/>
  <c r="B54" i="3"/>
  <c r="M53" i="3"/>
  <c r="L54" i="3"/>
  <c r="J56" i="3" l="1"/>
  <c r="K56" i="3"/>
  <c r="C55" i="3"/>
  <c r="B55" i="3"/>
  <c r="I54" i="3"/>
  <c r="H55" i="3"/>
  <c r="L55" i="3"/>
  <c r="M54" i="3"/>
  <c r="D55" i="3"/>
  <c r="E54" i="3"/>
  <c r="G55" i="3"/>
  <c r="F55" i="3"/>
  <c r="B56" i="3" l="1"/>
  <c r="C56" i="3"/>
  <c r="D56" i="3"/>
  <c r="E55" i="3"/>
  <c r="G56" i="3"/>
  <c r="F56" i="3"/>
  <c r="I55" i="3"/>
  <c r="H56" i="3"/>
  <c r="J57" i="3"/>
  <c r="K57" i="3"/>
  <c r="L56" i="3"/>
  <c r="M55" i="3"/>
  <c r="E56" i="3" l="1"/>
  <c r="D57" i="3"/>
  <c r="B57" i="3"/>
  <c r="C57" i="3"/>
  <c r="M56" i="3"/>
  <c r="L57" i="3"/>
  <c r="G57" i="3"/>
  <c r="F57" i="3"/>
  <c r="K58" i="3"/>
  <c r="J58" i="3"/>
  <c r="H57" i="3"/>
  <c r="I56" i="3"/>
  <c r="D58" i="3" l="1"/>
  <c r="E57" i="3"/>
  <c r="C58" i="3"/>
  <c r="B58" i="3"/>
  <c r="K59" i="3"/>
  <c r="J59" i="3"/>
  <c r="L58" i="3"/>
  <c r="M57" i="3"/>
  <c r="I57" i="3"/>
  <c r="H58" i="3"/>
  <c r="G58" i="3"/>
  <c r="F58" i="3"/>
  <c r="M58" i="3" l="1"/>
  <c r="L59" i="3"/>
  <c r="K60" i="3"/>
  <c r="J60" i="3"/>
  <c r="H59" i="3"/>
  <c r="I58" i="3"/>
  <c r="C59" i="3"/>
  <c r="B59" i="3"/>
  <c r="E58" i="3"/>
  <c r="D59" i="3"/>
  <c r="G59" i="3"/>
  <c r="F59" i="3"/>
  <c r="M59" i="3" l="1"/>
  <c r="L60" i="3"/>
  <c r="F60" i="3"/>
  <c r="G60" i="3"/>
  <c r="E59" i="3"/>
  <c r="D60" i="3"/>
  <c r="C60" i="3"/>
  <c r="B60" i="3"/>
  <c r="H60" i="3"/>
  <c r="I59" i="3"/>
  <c r="K61" i="3"/>
  <c r="J61" i="3"/>
  <c r="C61" i="3" l="1"/>
  <c r="B61" i="3"/>
  <c r="L61" i="3"/>
  <c r="M60" i="3"/>
  <c r="D61" i="3"/>
  <c r="E60" i="3"/>
  <c r="I60" i="3"/>
  <c r="H61" i="3"/>
  <c r="K62" i="3"/>
  <c r="J62" i="3"/>
  <c r="F61" i="3"/>
  <c r="G61" i="3"/>
  <c r="M61" i="3" l="1"/>
  <c r="L62" i="3"/>
  <c r="C62" i="3"/>
  <c r="B62" i="3"/>
  <c r="E61" i="3"/>
  <c r="D62" i="3"/>
  <c r="H62" i="3"/>
  <c r="I61" i="3"/>
  <c r="G62" i="3"/>
  <c r="F62" i="3"/>
  <c r="K63" i="3"/>
  <c r="J63" i="3"/>
  <c r="J64" i="3" l="1"/>
  <c r="K64" i="3"/>
  <c r="C63" i="3"/>
  <c r="B63" i="3"/>
  <c r="L63" i="3"/>
  <c r="M62" i="3"/>
  <c r="G63" i="3"/>
  <c r="F63" i="3"/>
  <c r="I62" i="3"/>
  <c r="H63" i="3"/>
  <c r="D63" i="3"/>
  <c r="E62" i="3"/>
  <c r="B64" i="3" l="1"/>
  <c r="C64" i="3"/>
  <c r="G64" i="3"/>
  <c r="F64" i="3"/>
  <c r="L64" i="3"/>
  <c r="M63" i="3"/>
  <c r="I63" i="3"/>
  <c r="H64" i="3"/>
  <c r="D64" i="3"/>
  <c r="E63" i="3"/>
  <c r="J65" i="3"/>
  <c r="K65" i="3"/>
  <c r="H65" i="3" l="1"/>
  <c r="I64" i="3"/>
  <c r="G65" i="3"/>
  <c r="F65" i="3"/>
  <c r="K66" i="3"/>
  <c r="J66" i="3"/>
  <c r="M64" i="3"/>
  <c r="L65" i="3"/>
  <c r="E64" i="3"/>
  <c r="D65" i="3"/>
  <c r="B65" i="3"/>
  <c r="C65" i="3"/>
  <c r="D66" i="3" l="1"/>
  <c r="E65" i="3"/>
  <c r="K67" i="3"/>
  <c r="J67" i="3"/>
  <c r="C66" i="3"/>
  <c r="B66" i="3"/>
  <c r="L66" i="3"/>
  <c r="M65" i="3"/>
  <c r="F66" i="3"/>
  <c r="G66" i="3"/>
  <c r="I65" i="3"/>
  <c r="H66" i="3"/>
  <c r="H67" i="3" l="1"/>
  <c r="I66" i="3"/>
  <c r="M66" i="3"/>
  <c r="L67" i="3"/>
  <c r="C67" i="3"/>
  <c r="B67" i="3"/>
  <c r="E66" i="3"/>
  <c r="D67" i="3"/>
  <c r="G67" i="3"/>
  <c r="F67" i="3"/>
  <c r="K68" i="3"/>
  <c r="J68" i="3"/>
  <c r="C68" i="3" l="1"/>
  <c r="B68" i="3"/>
  <c r="M67" i="3"/>
  <c r="L68" i="3"/>
  <c r="K69" i="3"/>
  <c r="J69" i="3"/>
  <c r="F68" i="3"/>
  <c r="G68" i="3"/>
  <c r="E67" i="3"/>
  <c r="D68" i="3"/>
  <c r="H68" i="3"/>
  <c r="I67" i="3"/>
  <c r="K70" i="3" l="1"/>
  <c r="J70" i="3"/>
  <c r="I68" i="3"/>
  <c r="H69" i="3"/>
  <c r="L69" i="3"/>
  <c r="M68" i="3"/>
  <c r="D69" i="3"/>
  <c r="E68" i="3"/>
  <c r="C69" i="3"/>
  <c r="B69" i="3"/>
  <c r="F69" i="3"/>
  <c r="G69" i="3"/>
  <c r="M69" i="3" l="1"/>
  <c r="L70" i="3"/>
  <c r="K71" i="3"/>
  <c r="J71" i="3"/>
  <c r="G70" i="3"/>
  <c r="F70" i="3"/>
  <c r="C70" i="3"/>
  <c r="B70" i="3"/>
  <c r="H70" i="3"/>
  <c r="I69" i="3"/>
  <c r="E69" i="3"/>
  <c r="D70" i="3"/>
  <c r="L71" i="3" l="1"/>
  <c r="M70" i="3"/>
  <c r="I70" i="3"/>
  <c r="H71" i="3"/>
  <c r="C71" i="3"/>
  <c r="B71" i="3"/>
  <c r="D71" i="3"/>
  <c r="E70" i="3"/>
  <c r="G71" i="3"/>
  <c r="F71" i="3"/>
  <c r="J72" i="3"/>
  <c r="K72" i="3"/>
  <c r="L72" i="3" l="1"/>
  <c r="M71" i="3"/>
  <c r="D72" i="3"/>
  <c r="E71" i="3"/>
  <c r="B72" i="3"/>
  <c r="C72" i="3"/>
  <c r="J73" i="3"/>
  <c r="K73" i="3"/>
  <c r="G72" i="3"/>
  <c r="F72" i="3"/>
  <c r="I71" i="3"/>
  <c r="H72" i="3"/>
  <c r="G73" i="3" l="1"/>
  <c r="F73" i="3"/>
  <c r="E72" i="3"/>
  <c r="D73" i="3"/>
  <c r="B73" i="3"/>
  <c r="C73" i="3"/>
  <c r="K74" i="3"/>
  <c r="J74" i="3"/>
  <c r="M72" i="3"/>
  <c r="L73" i="3"/>
  <c r="H73" i="3"/>
  <c r="I72" i="3"/>
  <c r="C74" i="3" l="1"/>
  <c r="B74" i="3"/>
  <c r="G74" i="3"/>
  <c r="F74" i="3"/>
  <c r="L74" i="3"/>
  <c r="M73" i="3"/>
  <c r="D74" i="3"/>
  <c r="E73" i="3"/>
  <c r="I73" i="3"/>
  <c r="H74" i="3"/>
  <c r="K75" i="3"/>
  <c r="J75" i="3"/>
  <c r="C75" i="3" l="1"/>
  <c r="B75" i="3"/>
  <c r="E74" i="3"/>
  <c r="D75" i="3"/>
  <c r="H75" i="3"/>
  <c r="I74" i="3"/>
  <c r="K76" i="3"/>
  <c r="J76" i="3"/>
  <c r="M74" i="3"/>
  <c r="L75" i="3"/>
  <c r="G75" i="3"/>
  <c r="F75" i="3"/>
  <c r="F76" i="3" l="1"/>
  <c r="G76" i="3"/>
  <c r="H76" i="3"/>
  <c r="I75" i="3"/>
  <c r="M75" i="3"/>
  <c r="L76" i="3"/>
  <c r="E75" i="3"/>
  <c r="D76" i="3"/>
  <c r="K77" i="3"/>
  <c r="J77" i="3"/>
  <c r="C76" i="3"/>
  <c r="B76" i="3"/>
  <c r="D77" i="3" l="1"/>
  <c r="E76" i="3"/>
  <c r="L77" i="3"/>
  <c r="M76" i="3"/>
  <c r="C77" i="3"/>
  <c r="B77" i="3"/>
  <c r="I76" i="3"/>
  <c r="H77" i="3"/>
  <c r="F77" i="3"/>
  <c r="G77" i="3"/>
  <c r="K78" i="3"/>
  <c r="J78" i="3"/>
  <c r="G78" i="3" l="1"/>
  <c r="F78" i="3"/>
  <c r="H78" i="3"/>
  <c r="I77" i="3"/>
  <c r="C78" i="3"/>
  <c r="B78" i="3"/>
  <c r="M77" i="3"/>
  <c r="L78" i="3"/>
  <c r="K79" i="3"/>
  <c r="J79" i="3"/>
  <c r="E77" i="3"/>
  <c r="D78" i="3"/>
  <c r="L79" i="3" l="1"/>
  <c r="M78" i="3"/>
  <c r="D79" i="3"/>
  <c r="E78" i="3"/>
  <c r="C79" i="3"/>
  <c r="B79" i="3"/>
  <c r="I78" i="3"/>
  <c r="H79" i="3"/>
  <c r="J80" i="3"/>
  <c r="K80" i="3"/>
  <c r="G79" i="3"/>
  <c r="F79" i="3"/>
  <c r="I79" i="3" l="1"/>
  <c r="H80" i="3"/>
  <c r="G80" i="3"/>
  <c r="F80" i="3"/>
  <c r="B80" i="3"/>
  <c r="C80" i="3"/>
  <c r="D80" i="3"/>
  <c r="E79" i="3"/>
  <c r="J81" i="3"/>
  <c r="K81" i="3"/>
  <c r="L80" i="3"/>
  <c r="M79" i="3"/>
  <c r="B81" i="3" l="1"/>
  <c r="C81" i="3"/>
  <c r="G81" i="3"/>
  <c r="F81" i="3"/>
  <c r="E80" i="3"/>
  <c r="D81" i="3"/>
  <c r="M80" i="3"/>
  <c r="L81" i="3"/>
  <c r="H81" i="3"/>
  <c r="I80" i="3"/>
  <c r="K82" i="3"/>
  <c r="J82" i="3"/>
  <c r="L82" i="3" l="1"/>
  <c r="M81" i="3"/>
  <c r="J83" i="3"/>
  <c r="K83" i="3"/>
  <c r="D82" i="3"/>
  <c r="E81" i="3"/>
  <c r="G82" i="3"/>
  <c r="F82" i="3"/>
  <c r="I81" i="3"/>
  <c r="H82" i="3"/>
  <c r="C82" i="3"/>
  <c r="B82" i="3"/>
  <c r="E82" i="3" l="1"/>
  <c r="D83" i="3"/>
  <c r="G83" i="3"/>
  <c r="F83" i="3"/>
  <c r="H83" i="3"/>
  <c r="I82" i="3"/>
  <c r="C83" i="3"/>
  <c r="B83" i="3"/>
  <c r="J84" i="3"/>
  <c r="K84" i="3"/>
  <c r="M82" i="3"/>
  <c r="L83" i="3"/>
  <c r="C84" i="3" l="1"/>
  <c r="B84" i="3"/>
  <c r="H84" i="3"/>
  <c r="I83" i="3"/>
  <c r="F84" i="3"/>
  <c r="G84" i="3"/>
  <c r="D84" i="3"/>
  <c r="E83" i="3"/>
  <c r="L84" i="3"/>
  <c r="M83" i="3"/>
  <c r="K85" i="3"/>
  <c r="J85" i="3"/>
  <c r="E84" i="3" l="1"/>
  <c r="D85" i="3"/>
  <c r="H85" i="3"/>
  <c r="I84" i="3"/>
  <c r="G85" i="3"/>
  <c r="F85" i="3"/>
  <c r="K86" i="3"/>
  <c r="J86" i="3"/>
  <c r="C85" i="3"/>
  <c r="B85" i="3"/>
  <c r="M84" i="3"/>
  <c r="L85" i="3"/>
  <c r="G86" i="3" l="1"/>
  <c r="F86" i="3"/>
  <c r="I85" i="3"/>
  <c r="H86" i="3"/>
  <c r="J87" i="3"/>
  <c r="K87" i="3"/>
  <c r="C86" i="3"/>
  <c r="B86" i="3"/>
  <c r="L86" i="3"/>
  <c r="M85" i="3"/>
  <c r="D86" i="3"/>
  <c r="E85" i="3"/>
  <c r="J88" i="3" l="1"/>
  <c r="K88" i="3"/>
  <c r="D87" i="3"/>
  <c r="E86" i="3"/>
  <c r="C87" i="3"/>
  <c r="B87" i="3"/>
  <c r="I86" i="3"/>
  <c r="H87" i="3"/>
  <c r="G87" i="3"/>
  <c r="F87" i="3"/>
  <c r="L87" i="3"/>
  <c r="M86" i="3"/>
  <c r="B88" i="3" l="1"/>
  <c r="C88" i="3"/>
  <c r="M87" i="3"/>
  <c r="L88" i="3"/>
  <c r="G88" i="3"/>
  <c r="F88" i="3"/>
  <c r="H88" i="3"/>
  <c r="I87" i="3"/>
  <c r="E87" i="3"/>
  <c r="D88" i="3"/>
  <c r="K89" i="3"/>
  <c r="J89" i="3"/>
  <c r="I88" i="3" l="1"/>
  <c r="H89" i="3"/>
  <c r="G89" i="3"/>
  <c r="F89" i="3"/>
  <c r="L89" i="3"/>
  <c r="M88" i="3"/>
  <c r="J90" i="3"/>
  <c r="K90" i="3"/>
  <c r="D89" i="3"/>
  <c r="E88" i="3"/>
  <c r="C89" i="3"/>
  <c r="B89" i="3"/>
  <c r="G90" i="3" l="1"/>
  <c r="F90" i="3"/>
  <c r="K91" i="3"/>
  <c r="J91" i="3"/>
  <c r="C90" i="3"/>
  <c r="B90" i="3"/>
  <c r="H90" i="3"/>
  <c r="I89" i="3"/>
  <c r="M89" i="3"/>
  <c r="L90" i="3"/>
  <c r="E89" i="3"/>
  <c r="D90" i="3"/>
  <c r="H91" i="3" l="1"/>
  <c r="I90" i="3"/>
  <c r="K92" i="3"/>
  <c r="J92" i="3"/>
  <c r="M90" i="3"/>
  <c r="L91" i="3"/>
  <c r="C91" i="3"/>
  <c r="B91" i="3"/>
  <c r="E90" i="3"/>
  <c r="D91" i="3"/>
  <c r="F91" i="3"/>
  <c r="G91" i="3"/>
  <c r="F92" i="3" l="1"/>
  <c r="G92" i="3"/>
  <c r="L92" i="3"/>
  <c r="M91" i="3"/>
  <c r="D92" i="3"/>
  <c r="E91" i="3"/>
  <c r="C92" i="3"/>
  <c r="B92" i="3"/>
  <c r="K93" i="3"/>
  <c r="J93" i="3"/>
  <c r="I91" i="3"/>
  <c r="H92" i="3"/>
  <c r="E92" i="3" l="1"/>
  <c r="D93" i="3"/>
  <c r="K94" i="3"/>
  <c r="J94" i="3"/>
  <c r="C93" i="3"/>
  <c r="B93" i="3"/>
  <c r="H93" i="3"/>
  <c r="I92" i="3"/>
  <c r="M92" i="3"/>
  <c r="L93" i="3"/>
  <c r="G93" i="3"/>
  <c r="F93" i="3"/>
  <c r="I93" i="3" l="1"/>
  <c r="H94" i="3"/>
  <c r="C94" i="3"/>
  <c r="B94" i="3"/>
  <c r="F94" i="3"/>
  <c r="G94" i="3"/>
  <c r="L94" i="3"/>
  <c r="M93" i="3"/>
  <c r="K95" i="3"/>
  <c r="J95" i="3"/>
  <c r="D94" i="3"/>
  <c r="E93" i="3"/>
  <c r="G95" i="3" l="1"/>
  <c r="F95" i="3"/>
  <c r="D95" i="3"/>
  <c r="E94" i="3"/>
  <c r="B95" i="3"/>
  <c r="C95" i="3"/>
  <c r="I94" i="3"/>
  <c r="H95" i="3"/>
  <c r="L95" i="3"/>
  <c r="M94" i="3"/>
  <c r="J96" i="3"/>
  <c r="K96" i="3"/>
  <c r="H96" i="3" l="1"/>
  <c r="I95" i="3"/>
  <c r="E95" i="3"/>
  <c r="D96" i="3"/>
  <c r="K97" i="3"/>
  <c r="J97" i="3"/>
  <c r="B96" i="3"/>
  <c r="C96" i="3"/>
  <c r="G96" i="3"/>
  <c r="F96" i="3"/>
  <c r="M95" i="3"/>
  <c r="L96" i="3"/>
  <c r="C97" i="3" l="1"/>
  <c r="B97" i="3"/>
  <c r="D97" i="3"/>
  <c r="E96" i="3"/>
  <c r="G97" i="3"/>
  <c r="F97" i="3"/>
  <c r="K98" i="3"/>
  <c r="J98" i="3"/>
  <c r="L97" i="3"/>
  <c r="M96" i="3"/>
  <c r="I96" i="3"/>
  <c r="H97" i="3"/>
  <c r="K99" i="3" l="1"/>
  <c r="J99" i="3"/>
  <c r="H98" i="3"/>
  <c r="I97" i="3"/>
  <c r="B98" i="3"/>
  <c r="C98" i="3"/>
  <c r="G98" i="3"/>
  <c r="F98" i="3"/>
  <c r="E97" i="3"/>
  <c r="D98" i="3"/>
  <c r="M97" i="3"/>
  <c r="L98" i="3"/>
  <c r="M98" i="3" l="1"/>
  <c r="L99" i="3"/>
  <c r="G99" i="3"/>
  <c r="F99" i="3"/>
  <c r="C99" i="3"/>
  <c r="B99" i="3"/>
  <c r="E98" i="3"/>
  <c r="D99" i="3"/>
  <c r="H99" i="3"/>
  <c r="I98" i="3"/>
  <c r="K100" i="3"/>
  <c r="J100" i="3"/>
  <c r="C100" i="3" l="1"/>
  <c r="B100" i="3"/>
  <c r="F100" i="3"/>
  <c r="G100" i="3"/>
  <c r="L100" i="3"/>
  <c r="M99" i="3"/>
  <c r="D100" i="3"/>
  <c r="E99" i="3"/>
  <c r="K101" i="3"/>
  <c r="J101" i="3"/>
  <c r="I99" i="3"/>
  <c r="H100" i="3"/>
  <c r="M100" i="3" l="1"/>
  <c r="L101" i="3"/>
  <c r="G101" i="3"/>
  <c r="F101" i="3"/>
  <c r="E100" i="3"/>
  <c r="D101" i="3"/>
  <c r="K102" i="3"/>
  <c r="J102" i="3"/>
  <c r="H101" i="3"/>
  <c r="I100" i="3"/>
  <c r="C101" i="3"/>
  <c r="B101" i="3"/>
  <c r="J103" i="3" l="1"/>
  <c r="K103" i="3"/>
  <c r="C102" i="3"/>
  <c r="B102" i="3"/>
  <c r="G102" i="3"/>
  <c r="F102" i="3"/>
  <c r="L102" i="3"/>
  <c r="M101" i="3"/>
  <c r="D102" i="3"/>
  <c r="E101" i="3"/>
  <c r="I101" i="3"/>
  <c r="H102" i="3"/>
  <c r="L103" i="3" l="1"/>
  <c r="M102" i="3"/>
  <c r="C103" i="3"/>
  <c r="B103" i="3"/>
  <c r="I102" i="3"/>
  <c r="H103" i="3"/>
  <c r="G103" i="3"/>
  <c r="F103" i="3"/>
  <c r="D103" i="3"/>
  <c r="E102" i="3"/>
  <c r="J104" i="3"/>
  <c r="K104" i="3"/>
  <c r="G104" i="3" l="1"/>
  <c r="F104" i="3"/>
  <c r="K105" i="3"/>
  <c r="J105" i="3"/>
  <c r="B104" i="3"/>
  <c r="C104" i="3"/>
  <c r="H104" i="3"/>
  <c r="I103" i="3"/>
  <c r="E103" i="3"/>
  <c r="D104" i="3"/>
  <c r="M103" i="3"/>
  <c r="L104" i="3"/>
  <c r="I104" i="3" l="1"/>
  <c r="H105" i="3"/>
  <c r="J106" i="3"/>
  <c r="K106" i="3"/>
  <c r="G105" i="3"/>
  <c r="F105" i="3"/>
  <c r="C105" i="3"/>
  <c r="B105" i="3"/>
  <c r="L105" i="3"/>
  <c r="M104" i="3"/>
  <c r="D105" i="3"/>
  <c r="E104" i="3"/>
  <c r="G106" i="3" l="1"/>
  <c r="F106" i="3"/>
  <c r="C106" i="3"/>
  <c r="B106" i="3"/>
  <c r="E105" i="3"/>
  <c r="D106" i="3"/>
  <c r="H106" i="3"/>
  <c r="I105" i="3"/>
  <c r="K107" i="3"/>
  <c r="J107" i="3"/>
  <c r="M105" i="3"/>
  <c r="L106" i="3"/>
  <c r="C107" i="3" l="1"/>
  <c r="B107" i="3"/>
  <c r="E106" i="3"/>
  <c r="D107" i="3"/>
  <c r="F107" i="3"/>
  <c r="G107" i="3"/>
  <c r="H107" i="3"/>
  <c r="I106" i="3"/>
  <c r="M106" i="3"/>
  <c r="L107" i="3"/>
  <c r="K108" i="3"/>
  <c r="J108" i="3"/>
  <c r="I107" i="3" l="1"/>
  <c r="H108" i="3"/>
  <c r="D108" i="3"/>
  <c r="E107" i="3"/>
  <c r="F108" i="3"/>
  <c r="G108" i="3"/>
  <c r="L108" i="3"/>
  <c r="M107" i="3"/>
  <c r="K109" i="3"/>
  <c r="J109" i="3"/>
  <c r="C108" i="3"/>
  <c r="B108" i="3"/>
  <c r="M108" i="3" l="1"/>
  <c r="L109" i="3"/>
  <c r="C109" i="3"/>
  <c r="B109" i="3"/>
  <c r="K110" i="3"/>
  <c r="J110" i="3"/>
  <c r="G109" i="3"/>
  <c r="F109" i="3"/>
  <c r="E108" i="3"/>
  <c r="D109" i="3"/>
  <c r="H109" i="3"/>
  <c r="I108" i="3"/>
  <c r="I109" i="3" l="1"/>
  <c r="H110" i="3"/>
  <c r="F110" i="3"/>
  <c r="G110" i="3"/>
  <c r="C110" i="3"/>
  <c r="B110" i="3"/>
  <c r="L110" i="3"/>
  <c r="M109" i="3"/>
  <c r="K111" i="3"/>
  <c r="J111" i="3"/>
  <c r="D110" i="3"/>
  <c r="E109" i="3"/>
  <c r="L111" i="3" l="1"/>
  <c r="M110" i="3"/>
  <c r="D111" i="3"/>
  <c r="E110" i="3"/>
  <c r="B111" i="3"/>
  <c r="C111" i="3"/>
  <c r="J112" i="3"/>
  <c r="K112" i="3"/>
  <c r="G111" i="3"/>
  <c r="F111" i="3"/>
  <c r="I110" i="3"/>
  <c r="H111" i="3"/>
  <c r="B112" i="3" l="1"/>
  <c r="C112" i="3"/>
  <c r="E111" i="3"/>
  <c r="D112" i="3"/>
  <c r="H112" i="3"/>
  <c r="I111" i="3"/>
  <c r="K113" i="3"/>
  <c r="J113" i="3"/>
  <c r="G112" i="3"/>
  <c r="F112" i="3"/>
  <c r="M111" i="3"/>
  <c r="L112" i="3"/>
  <c r="K114" i="3" l="1"/>
  <c r="J114" i="3"/>
  <c r="I112" i="3"/>
  <c r="H113" i="3"/>
  <c r="L113" i="3"/>
  <c r="M112" i="3"/>
  <c r="D113" i="3"/>
  <c r="E112" i="3"/>
  <c r="G113" i="3"/>
  <c r="F113" i="3"/>
  <c r="C113" i="3"/>
  <c r="B113" i="3"/>
  <c r="H114" i="3" l="1"/>
  <c r="I113" i="3"/>
  <c r="C114" i="3"/>
  <c r="B114" i="3"/>
  <c r="K115" i="3"/>
  <c r="J115" i="3"/>
  <c r="E113" i="3"/>
  <c r="D114" i="3"/>
  <c r="M113" i="3"/>
  <c r="L114" i="3"/>
  <c r="G114" i="3"/>
  <c r="F114" i="3"/>
  <c r="E114" i="3" l="1"/>
  <c r="D115" i="3"/>
  <c r="K116" i="3"/>
  <c r="J116" i="3"/>
  <c r="C115" i="3"/>
  <c r="B115" i="3"/>
  <c r="M114" i="3"/>
  <c r="L115" i="3"/>
  <c r="F115" i="3"/>
  <c r="G115" i="3"/>
  <c r="H115" i="3"/>
  <c r="I114" i="3"/>
  <c r="L116" i="3" l="1"/>
  <c r="M115" i="3"/>
  <c r="I115" i="3"/>
  <c r="H116" i="3"/>
  <c r="B116" i="3"/>
  <c r="C116" i="3"/>
  <c r="D116" i="3"/>
  <c r="E115" i="3"/>
  <c r="K117" i="3"/>
  <c r="J117" i="3"/>
  <c r="G116" i="3"/>
  <c r="F116" i="3"/>
  <c r="C117" i="3" l="1"/>
  <c r="B117" i="3"/>
  <c r="D117" i="3"/>
  <c r="E116" i="3"/>
  <c r="G117" i="3"/>
  <c r="F117" i="3"/>
  <c r="I116" i="3"/>
  <c r="H117" i="3"/>
  <c r="K118" i="3"/>
  <c r="J118" i="3"/>
  <c r="L117" i="3"/>
  <c r="M116" i="3"/>
  <c r="G118" i="3" l="1"/>
  <c r="F118" i="3"/>
  <c r="H118" i="3"/>
  <c r="I117" i="3"/>
  <c r="E117" i="3"/>
  <c r="D118" i="3"/>
  <c r="M117" i="3"/>
  <c r="L118" i="3"/>
  <c r="J119" i="3"/>
  <c r="K119" i="3"/>
  <c r="C118" i="3"/>
  <c r="B118" i="3"/>
  <c r="D119" i="3" l="1"/>
  <c r="E118" i="3"/>
  <c r="I118" i="3"/>
  <c r="H119" i="3"/>
  <c r="L119" i="3"/>
  <c r="M118" i="3"/>
  <c r="G119" i="3"/>
  <c r="F119" i="3"/>
  <c r="B119" i="3"/>
  <c r="C119" i="3"/>
  <c r="K120" i="3"/>
  <c r="J120" i="3"/>
  <c r="G120" i="3" l="1"/>
  <c r="F120" i="3"/>
  <c r="L120" i="3"/>
  <c r="M119" i="3"/>
  <c r="H120" i="3"/>
  <c r="I119" i="3"/>
  <c r="J121" i="3"/>
  <c r="K121" i="3"/>
  <c r="B120" i="3"/>
  <c r="C120" i="3"/>
  <c r="E119" i="3"/>
  <c r="D120" i="3"/>
  <c r="K122" i="3" l="1"/>
  <c r="J122" i="3"/>
  <c r="H121" i="3"/>
  <c r="I120" i="3"/>
  <c r="M120" i="3"/>
  <c r="L121" i="3"/>
  <c r="G121" i="3"/>
  <c r="F121" i="3"/>
  <c r="E120" i="3"/>
  <c r="D121" i="3"/>
  <c r="B121" i="3"/>
  <c r="C121" i="3"/>
  <c r="L122" i="3" l="1"/>
  <c r="M121" i="3"/>
  <c r="C122" i="3"/>
  <c r="B122" i="3"/>
  <c r="H122" i="3"/>
  <c r="I121" i="3"/>
  <c r="G122" i="3"/>
  <c r="F122" i="3"/>
  <c r="D122" i="3"/>
  <c r="E121" i="3"/>
  <c r="J123" i="3"/>
  <c r="K123" i="3"/>
  <c r="H123" i="3" l="1"/>
  <c r="I122" i="3"/>
  <c r="K124" i="3"/>
  <c r="J124" i="3"/>
  <c r="F123" i="3"/>
  <c r="G123" i="3"/>
  <c r="C123" i="3"/>
  <c r="B123" i="3"/>
  <c r="E122" i="3"/>
  <c r="D123" i="3"/>
  <c r="M122" i="3"/>
  <c r="L123" i="3"/>
  <c r="L124" i="3" l="1"/>
  <c r="M123" i="3"/>
  <c r="K125" i="3"/>
  <c r="J125" i="3"/>
  <c r="C124" i="3"/>
  <c r="B124" i="3"/>
  <c r="G124" i="3"/>
  <c r="F124" i="3"/>
  <c r="D124" i="3"/>
  <c r="E123" i="3"/>
  <c r="H124" i="3"/>
  <c r="I123" i="3"/>
  <c r="C125" i="3" l="1"/>
  <c r="B125" i="3"/>
  <c r="F125" i="3"/>
  <c r="G125" i="3"/>
  <c r="I124" i="3"/>
  <c r="H125" i="3"/>
  <c r="J126" i="3"/>
  <c r="K126" i="3"/>
  <c r="D125" i="3"/>
  <c r="E124" i="3"/>
  <c r="L125" i="3"/>
  <c r="M124" i="3"/>
  <c r="G126" i="3" l="1"/>
  <c r="F126" i="3"/>
  <c r="J127" i="3"/>
  <c r="K127" i="3"/>
  <c r="C126" i="3"/>
  <c r="B126" i="3"/>
  <c r="H126" i="3"/>
  <c r="I125" i="3"/>
  <c r="L126" i="3"/>
  <c r="M125" i="3"/>
  <c r="E125" i="3"/>
  <c r="D126" i="3"/>
  <c r="B127" i="3" l="1"/>
  <c r="C127" i="3"/>
  <c r="D127" i="3"/>
  <c r="E126" i="3"/>
  <c r="I126" i="3"/>
  <c r="H127" i="3"/>
  <c r="G127" i="3"/>
  <c r="F127" i="3"/>
  <c r="K128" i="3"/>
  <c r="J128" i="3"/>
  <c r="L127" i="3"/>
  <c r="M126" i="3"/>
  <c r="H128" i="3" l="1"/>
  <c r="I127" i="3"/>
  <c r="D128" i="3"/>
  <c r="E127" i="3"/>
  <c r="J129" i="3"/>
  <c r="K129" i="3"/>
  <c r="G128" i="3"/>
  <c r="F128" i="3"/>
  <c r="L128" i="3"/>
  <c r="M127" i="3"/>
  <c r="C128" i="3"/>
  <c r="B128" i="3"/>
  <c r="K130" i="3" l="1"/>
  <c r="J130" i="3"/>
  <c r="B129" i="3"/>
  <c r="C129" i="3"/>
  <c r="F129" i="3"/>
  <c r="G129" i="3"/>
  <c r="E128" i="3"/>
  <c r="D129" i="3"/>
  <c r="M128" i="3"/>
  <c r="L129" i="3"/>
  <c r="H129" i="3"/>
  <c r="I128" i="3"/>
  <c r="D130" i="3" l="1"/>
  <c r="E129" i="3"/>
  <c r="H130" i="3"/>
  <c r="I129" i="3"/>
  <c r="G130" i="3"/>
  <c r="F130" i="3"/>
  <c r="J131" i="3"/>
  <c r="K131" i="3"/>
  <c r="C130" i="3"/>
  <c r="B130" i="3"/>
  <c r="L130" i="3"/>
  <c r="M129" i="3"/>
  <c r="K132" i="3" l="1"/>
  <c r="J132" i="3"/>
  <c r="H131" i="3"/>
  <c r="I130" i="3"/>
  <c r="G131" i="3"/>
  <c r="F131" i="3"/>
  <c r="B131" i="3"/>
  <c r="C131" i="3"/>
  <c r="M130" i="3"/>
  <c r="L131" i="3"/>
  <c r="E130" i="3"/>
  <c r="D131" i="3"/>
  <c r="G132" i="3" l="1"/>
  <c r="F132" i="3"/>
  <c r="D132" i="3"/>
  <c r="E131" i="3"/>
  <c r="J133" i="3"/>
  <c r="K133" i="3"/>
  <c r="C132" i="3"/>
  <c r="B132" i="3"/>
  <c r="I131" i="3"/>
  <c r="H132" i="3"/>
  <c r="M131" i="3"/>
  <c r="L132" i="3"/>
  <c r="C133" i="3" l="1"/>
  <c r="B133" i="3"/>
  <c r="D133" i="3"/>
  <c r="E132" i="3"/>
  <c r="K134" i="3"/>
  <c r="J134" i="3"/>
  <c r="F133" i="3"/>
  <c r="G133" i="3"/>
  <c r="L133" i="3"/>
  <c r="M132" i="3"/>
  <c r="I132" i="3"/>
  <c r="H133" i="3"/>
  <c r="H134" i="3" l="1"/>
  <c r="I133" i="3"/>
  <c r="E133" i="3"/>
  <c r="D134" i="3"/>
  <c r="K135" i="3"/>
  <c r="J135" i="3"/>
  <c r="G134" i="3"/>
  <c r="F134" i="3"/>
  <c r="C134" i="3"/>
  <c r="B134" i="3"/>
  <c r="M133" i="3"/>
  <c r="L134" i="3"/>
  <c r="D135" i="3" l="1"/>
  <c r="E134" i="3"/>
  <c r="F135" i="3"/>
  <c r="G135" i="3"/>
  <c r="C135" i="3"/>
  <c r="B135" i="3"/>
  <c r="K136" i="3"/>
  <c r="J136" i="3"/>
  <c r="L135" i="3"/>
  <c r="M134" i="3"/>
  <c r="I134" i="3"/>
  <c r="H135" i="3"/>
  <c r="C136" i="3" l="1"/>
  <c r="B136" i="3"/>
  <c r="G136" i="3"/>
  <c r="F136" i="3"/>
  <c r="J137" i="3"/>
  <c r="K137" i="3"/>
  <c r="I135" i="3"/>
  <c r="H136" i="3"/>
  <c r="L136" i="3"/>
  <c r="M135" i="3"/>
  <c r="E135" i="3"/>
  <c r="D136" i="3"/>
  <c r="K138" i="3" l="1"/>
  <c r="J138" i="3"/>
  <c r="F137" i="3"/>
  <c r="G137" i="3"/>
  <c r="H137" i="3"/>
  <c r="I136" i="3"/>
  <c r="E136" i="3"/>
  <c r="D137" i="3"/>
  <c r="B137" i="3"/>
  <c r="C137" i="3"/>
  <c r="M136" i="3"/>
  <c r="L137" i="3"/>
  <c r="G138" i="3" l="1"/>
  <c r="F138" i="3"/>
  <c r="D138" i="3"/>
  <c r="E137" i="3"/>
  <c r="L138" i="3"/>
  <c r="M137" i="3"/>
  <c r="J139" i="3"/>
  <c r="K139" i="3"/>
  <c r="I137" i="3"/>
  <c r="H138" i="3"/>
  <c r="C138" i="3"/>
  <c r="B138" i="3"/>
  <c r="K140" i="3" l="1"/>
  <c r="J140" i="3"/>
  <c r="B139" i="3"/>
  <c r="C139" i="3"/>
  <c r="M138" i="3"/>
  <c r="L139" i="3"/>
  <c r="H139" i="3"/>
  <c r="I138" i="3"/>
  <c r="E138" i="3"/>
  <c r="D139" i="3"/>
  <c r="G139" i="3"/>
  <c r="F139" i="3"/>
  <c r="M139" i="3" l="1"/>
  <c r="L140" i="3"/>
  <c r="H140" i="3"/>
  <c r="I139" i="3"/>
  <c r="C140" i="3"/>
  <c r="B140" i="3"/>
  <c r="E139" i="3"/>
  <c r="D140" i="3"/>
  <c r="G140" i="3"/>
  <c r="F140" i="3"/>
  <c r="K141" i="3"/>
  <c r="J141" i="3"/>
  <c r="C141" i="3" l="1"/>
  <c r="B141" i="3"/>
  <c r="K142" i="3"/>
  <c r="J142" i="3"/>
  <c r="F141" i="3"/>
  <c r="G141" i="3"/>
  <c r="D141" i="3"/>
  <c r="E140" i="3"/>
  <c r="I140" i="3"/>
  <c r="H141" i="3"/>
  <c r="L141" i="3"/>
  <c r="M140" i="3"/>
  <c r="E141" i="3" l="1"/>
  <c r="D142" i="3"/>
  <c r="K143" i="3"/>
  <c r="J143" i="3"/>
  <c r="C142" i="3"/>
  <c r="B142" i="3"/>
  <c r="G142" i="3"/>
  <c r="F142" i="3"/>
  <c r="M141" i="3"/>
  <c r="L142" i="3"/>
  <c r="H142" i="3"/>
  <c r="I141" i="3"/>
  <c r="K144" i="3" l="1"/>
  <c r="J144" i="3"/>
  <c r="C143" i="3"/>
  <c r="B143" i="3"/>
  <c r="I142" i="3"/>
  <c r="H143" i="3"/>
  <c r="L143" i="3"/>
  <c r="M142" i="3"/>
  <c r="F143" i="3"/>
  <c r="G143" i="3"/>
  <c r="D143" i="3"/>
  <c r="E142" i="3"/>
  <c r="L144" i="3" l="1"/>
  <c r="M143" i="3"/>
  <c r="C144" i="3"/>
  <c r="B144" i="3"/>
  <c r="J145" i="3"/>
  <c r="K145" i="3"/>
  <c r="I143" i="3"/>
  <c r="H144" i="3"/>
  <c r="D144" i="3"/>
  <c r="E143" i="3"/>
  <c r="G144" i="3"/>
  <c r="F144" i="3"/>
  <c r="H145" i="3" l="1"/>
  <c r="I144" i="3"/>
  <c r="G145" i="3"/>
  <c r="F145" i="3"/>
  <c r="K146" i="3"/>
  <c r="J146" i="3"/>
  <c r="B145" i="3"/>
  <c r="C145" i="3"/>
  <c r="E144" i="3"/>
  <c r="D145" i="3"/>
  <c r="M144" i="3"/>
  <c r="L145" i="3"/>
  <c r="C146" i="3" l="1"/>
  <c r="B146" i="3"/>
  <c r="K147" i="3"/>
  <c r="J147" i="3"/>
  <c r="L146" i="3"/>
  <c r="M145" i="3"/>
  <c r="G146" i="3"/>
  <c r="F146" i="3"/>
  <c r="D146" i="3"/>
  <c r="E145" i="3"/>
  <c r="I145" i="3"/>
  <c r="H146" i="3"/>
  <c r="M146" i="3" l="1"/>
  <c r="L147" i="3"/>
  <c r="H147" i="3"/>
  <c r="I146" i="3"/>
  <c r="C147" i="3"/>
  <c r="B147" i="3"/>
  <c r="F147" i="3"/>
  <c r="G147" i="3"/>
  <c r="K148" i="3"/>
  <c r="J148" i="3"/>
  <c r="E146" i="3"/>
  <c r="D147" i="3"/>
  <c r="C148" i="3" l="1"/>
  <c r="B148" i="3"/>
  <c r="H148" i="3"/>
  <c r="I147" i="3"/>
  <c r="E147" i="3"/>
  <c r="D148" i="3"/>
  <c r="K149" i="3"/>
  <c r="J149" i="3"/>
  <c r="M147" i="3"/>
  <c r="L148" i="3"/>
  <c r="G148" i="3"/>
  <c r="F148" i="3"/>
  <c r="F149" i="3" l="1"/>
  <c r="G149" i="3"/>
  <c r="E148" i="3"/>
  <c r="D149" i="3"/>
  <c r="M148" i="3"/>
  <c r="L149" i="3"/>
  <c r="K150" i="3"/>
  <c r="J150" i="3"/>
  <c r="H149" i="3"/>
  <c r="I148" i="3"/>
  <c r="C149" i="3"/>
  <c r="B149" i="3"/>
  <c r="M149" i="3" l="1"/>
  <c r="L150" i="3"/>
  <c r="C150" i="3"/>
  <c r="B150" i="3"/>
  <c r="J151" i="3"/>
  <c r="K151" i="3"/>
  <c r="D150" i="3"/>
  <c r="E149" i="3"/>
  <c r="I149" i="3"/>
  <c r="H150" i="3"/>
  <c r="G150" i="3"/>
  <c r="F150" i="3"/>
  <c r="D151" i="3" l="1"/>
  <c r="E150" i="3"/>
  <c r="B151" i="3"/>
  <c r="C151" i="3"/>
  <c r="J152" i="3"/>
  <c r="K152" i="3"/>
  <c r="L151" i="3"/>
  <c r="M150" i="3"/>
  <c r="F151" i="3"/>
  <c r="G151" i="3"/>
  <c r="I150" i="3"/>
  <c r="H151" i="3"/>
  <c r="L152" i="3" l="1"/>
  <c r="M151" i="3"/>
  <c r="C152" i="3"/>
  <c r="B152" i="3"/>
  <c r="I151" i="3"/>
  <c r="H152" i="3"/>
  <c r="J153" i="3"/>
  <c r="K153" i="3"/>
  <c r="G152" i="3"/>
  <c r="F152" i="3"/>
  <c r="D152" i="3"/>
  <c r="E151" i="3"/>
  <c r="K154" i="3" l="1"/>
  <c r="J154" i="3"/>
  <c r="D153" i="3"/>
  <c r="E152" i="3"/>
  <c r="I152" i="3"/>
  <c r="H153" i="3"/>
  <c r="G153" i="3"/>
  <c r="F153" i="3"/>
  <c r="B153" i="3"/>
  <c r="C153" i="3"/>
  <c r="L153" i="3"/>
  <c r="M152" i="3"/>
  <c r="I153" i="3" l="1"/>
  <c r="H154" i="3"/>
  <c r="E153" i="3"/>
  <c r="D154" i="3"/>
  <c r="G154" i="3"/>
  <c r="F154" i="3"/>
  <c r="J155" i="3"/>
  <c r="K155" i="3"/>
  <c r="M153" i="3"/>
  <c r="L154" i="3"/>
  <c r="C154" i="3"/>
  <c r="B154" i="3"/>
  <c r="K156" i="3" l="1"/>
  <c r="J156" i="3"/>
  <c r="B155" i="3"/>
  <c r="C155" i="3"/>
  <c r="E154" i="3"/>
  <c r="D155" i="3"/>
  <c r="H155" i="3"/>
  <c r="I154" i="3"/>
  <c r="F155" i="3"/>
  <c r="G155" i="3"/>
  <c r="M154" i="3"/>
  <c r="L155" i="3"/>
  <c r="M155" i="3" l="1"/>
  <c r="L156" i="3"/>
  <c r="C156" i="3"/>
  <c r="B156" i="3"/>
  <c r="E155" i="3"/>
  <c r="D156" i="3"/>
  <c r="K157" i="3"/>
  <c r="J157" i="3"/>
  <c r="H156" i="3"/>
  <c r="I155" i="3"/>
  <c r="F156" i="3"/>
  <c r="G156" i="3"/>
  <c r="C157" i="3" l="1"/>
  <c r="B157" i="3"/>
  <c r="K158" i="3"/>
  <c r="J158" i="3"/>
  <c r="M156" i="3"/>
  <c r="L157" i="3"/>
  <c r="E156" i="3"/>
  <c r="D157" i="3"/>
  <c r="F157" i="3"/>
  <c r="G157" i="3"/>
  <c r="H157" i="3"/>
  <c r="I156" i="3"/>
  <c r="L158" i="3" l="1"/>
  <c r="M157" i="3"/>
  <c r="I157" i="3"/>
  <c r="H158" i="3"/>
  <c r="J159" i="3"/>
  <c r="K159" i="3"/>
  <c r="C158" i="3"/>
  <c r="B158" i="3"/>
  <c r="E157" i="3"/>
  <c r="D158" i="3"/>
  <c r="G158" i="3"/>
  <c r="F158" i="3"/>
  <c r="B159" i="3" l="1"/>
  <c r="C159" i="3"/>
  <c r="K160" i="3"/>
  <c r="J160" i="3"/>
  <c r="I158" i="3"/>
  <c r="H159" i="3"/>
  <c r="F159" i="3"/>
  <c r="G159" i="3"/>
  <c r="D159" i="3"/>
  <c r="E158" i="3"/>
  <c r="L159" i="3"/>
  <c r="M158" i="3"/>
  <c r="J161" i="3" l="1"/>
  <c r="K161" i="3"/>
  <c r="I159" i="3"/>
  <c r="H160" i="3"/>
  <c r="L160" i="3"/>
  <c r="M159" i="3"/>
  <c r="G160" i="3"/>
  <c r="F160" i="3"/>
  <c r="D160" i="3"/>
  <c r="E159" i="3"/>
  <c r="B160" i="3"/>
  <c r="C160" i="3"/>
  <c r="B161" i="3" l="1"/>
  <c r="C161" i="3"/>
  <c r="G161" i="3"/>
  <c r="F161" i="3"/>
  <c r="I160" i="3"/>
  <c r="H161" i="3"/>
  <c r="L161" i="3"/>
  <c r="M160" i="3"/>
  <c r="D161" i="3"/>
  <c r="E160" i="3"/>
  <c r="K162" i="3"/>
  <c r="J162" i="3"/>
  <c r="M161" i="3" l="1"/>
  <c r="L162" i="3"/>
  <c r="H162" i="3"/>
  <c r="I161" i="3"/>
  <c r="G162" i="3"/>
  <c r="F162" i="3"/>
  <c r="J163" i="3"/>
  <c r="K163" i="3"/>
  <c r="E161" i="3"/>
  <c r="D162" i="3"/>
  <c r="C162" i="3"/>
  <c r="B162" i="3"/>
  <c r="K164" i="3" l="1"/>
  <c r="J164" i="3"/>
  <c r="F163" i="3"/>
  <c r="G163" i="3"/>
  <c r="H163" i="3"/>
  <c r="I162" i="3"/>
  <c r="M162" i="3"/>
  <c r="L163" i="3"/>
  <c r="B163" i="3"/>
  <c r="C163" i="3"/>
  <c r="E162" i="3"/>
  <c r="D163" i="3"/>
  <c r="G164" i="3" l="1"/>
  <c r="F164" i="3"/>
  <c r="H164" i="3"/>
  <c r="I163" i="3"/>
  <c r="K165" i="3"/>
  <c r="J165" i="3"/>
  <c r="M163" i="3"/>
  <c r="L164" i="3"/>
  <c r="E163" i="3"/>
  <c r="D164" i="3"/>
  <c r="C164" i="3"/>
  <c r="B164" i="3"/>
  <c r="K166" i="3" l="1"/>
  <c r="J166" i="3"/>
  <c r="M164" i="3"/>
  <c r="L165" i="3"/>
  <c r="H165" i="3"/>
  <c r="I164" i="3"/>
  <c r="C165" i="3"/>
  <c r="B165" i="3"/>
  <c r="F165" i="3"/>
  <c r="G165" i="3"/>
  <c r="E164" i="3"/>
  <c r="D165" i="3"/>
  <c r="I165" i="3" l="1"/>
  <c r="H166" i="3"/>
  <c r="M165" i="3"/>
  <c r="L166" i="3"/>
  <c r="J167" i="3"/>
  <c r="K167" i="3"/>
  <c r="C166" i="3"/>
  <c r="B166" i="3"/>
  <c r="D166" i="3"/>
  <c r="E165" i="3"/>
  <c r="G166" i="3"/>
  <c r="F166" i="3"/>
  <c r="F167" i="3" l="1"/>
  <c r="G167" i="3"/>
  <c r="B167" i="3"/>
  <c r="C167" i="3"/>
  <c r="L167" i="3"/>
  <c r="M166" i="3"/>
  <c r="I166" i="3"/>
  <c r="H167" i="3"/>
  <c r="J168" i="3"/>
  <c r="K168" i="3"/>
  <c r="D167" i="3"/>
  <c r="E166" i="3"/>
  <c r="I167" i="3" l="1"/>
  <c r="H168" i="3"/>
  <c r="C168" i="3"/>
  <c r="B168" i="3"/>
  <c r="L168" i="3"/>
  <c r="M167" i="3"/>
  <c r="D168" i="3"/>
  <c r="E167" i="3"/>
  <c r="J169" i="3"/>
  <c r="K169" i="3"/>
  <c r="G168" i="3"/>
  <c r="F168" i="3"/>
  <c r="D169" i="3" l="1"/>
  <c r="E168" i="3"/>
  <c r="L169" i="3"/>
  <c r="M168" i="3"/>
  <c r="G169" i="3"/>
  <c r="F169" i="3"/>
  <c r="I168" i="3"/>
  <c r="H169" i="3"/>
  <c r="B169" i="3"/>
  <c r="C169" i="3"/>
  <c r="K170" i="3"/>
  <c r="J170" i="3"/>
  <c r="G170" i="3" l="1"/>
  <c r="F170" i="3"/>
  <c r="M169" i="3"/>
  <c r="L170" i="3"/>
  <c r="J171" i="3"/>
  <c r="K171" i="3"/>
  <c r="I169" i="3"/>
  <c r="H170" i="3"/>
  <c r="C170" i="3"/>
  <c r="B170" i="3"/>
  <c r="E169" i="3"/>
  <c r="D170" i="3"/>
  <c r="H171" i="3" l="1"/>
  <c r="I170" i="3"/>
  <c r="K172" i="3"/>
  <c r="J172" i="3"/>
  <c r="E170" i="3"/>
  <c r="D171" i="3"/>
  <c r="F171" i="3"/>
  <c r="G171" i="3"/>
  <c r="M170" i="3"/>
  <c r="L171" i="3"/>
  <c r="B171" i="3"/>
  <c r="C171" i="3"/>
  <c r="G172" i="3" l="1"/>
  <c r="F172" i="3"/>
  <c r="D172" i="3"/>
  <c r="E171" i="3"/>
  <c r="C172" i="3"/>
  <c r="B172" i="3"/>
  <c r="K173" i="3"/>
  <c r="J173" i="3"/>
  <c r="L172" i="3"/>
  <c r="M171" i="3"/>
  <c r="I171" i="3"/>
  <c r="H172" i="3"/>
  <c r="K174" i="3" l="1"/>
  <c r="J174" i="3"/>
  <c r="C173" i="3"/>
  <c r="B173" i="3"/>
  <c r="H173" i="3"/>
  <c r="I172" i="3"/>
  <c r="G173" i="3"/>
  <c r="F173" i="3"/>
  <c r="E172" i="3"/>
  <c r="D173" i="3"/>
  <c r="M172" i="3"/>
  <c r="L173" i="3"/>
  <c r="H174" i="3" l="1"/>
  <c r="I173" i="3"/>
  <c r="C174" i="3"/>
  <c r="B174" i="3"/>
  <c r="K175" i="3"/>
  <c r="J175" i="3"/>
  <c r="G174" i="3"/>
  <c r="F174" i="3"/>
  <c r="L174" i="3"/>
  <c r="M173" i="3"/>
  <c r="D174" i="3"/>
  <c r="E173" i="3"/>
  <c r="F175" i="3" l="1"/>
  <c r="G175" i="3"/>
  <c r="C175" i="3"/>
  <c r="B175" i="3"/>
  <c r="D175" i="3"/>
  <c r="E174" i="3"/>
  <c r="K176" i="3"/>
  <c r="J176" i="3"/>
  <c r="M174" i="3"/>
  <c r="L175" i="3"/>
  <c r="H175" i="3"/>
  <c r="I174" i="3"/>
  <c r="E175" i="3" l="1"/>
  <c r="D176" i="3"/>
  <c r="H176" i="3"/>
  <c r="I175" i="3"/>
  <c r="K177" i="3"/>
  <c r="J177" i="3"/>
  <c r="C176" i="3"/>
  <c r="B176" i="3"/>
  <c r="M175" i="3"/>
  <c r="L176" i="3"/>
  <c r="F176" i="3"/>
  <c r="G176" i="3"/>
  <c r="C177" i="3" l="1"/>
  <c r="B177" i="3"/>
  <c r="F177" i="3"/>
  <c r="G177" i="3"/>
  <c r="L177" i="3"/>
  <c r="M176" i="3"/>
  <c r="K178" i="3"/>
  <c r="J178" i="3"/>
  <c r="H177" i="3"/>
  <c r="I176" i="3"/>
  <c r="E176" i="3"/>
  <c r="D177" i="3"/>
  <c r="L178" i="3" l="1"/>
  <c r="M177" i="3"/>
  <c r="K179" i="3"/>
  <c r="J179" i="3"/>
  <c r="C178" i="3"/>
  <c r="B178" i="3"/>
  <c r="D178" i="3"/>
  <c r="E177" i="3"/>
  <c r="F178" i="3"/>
  <c r="G178" i="3"/>
  <c r="I177" i="3"/>
  <c r="H178" i="3"/>
  <c r="C179" i="3" l="1"/>
  <c r="B179" i="3"/>
  <c r="D179" i="3"/>
  <c r="E178" i="3"/>
  <c r="I178" i="3"/>
  <c r="H179" i="3"/>
  <c r="J180" i="3"/>
  <c r="K180" i="3"/>
  <c r="G179" i="3"/>
  <c r="F179" i="3"/>
  <c r="L179" i="3"/>
  <c r="M178" i="3"/>
  <c r="D180" i="3" l="1"/>
  <c r="E179" i="3"/>
  <c r="I179" i="3"/>
  <c r="H180" i="3"/>
  <c r="G180" i="3"/>
  <c r="F180" i="3"/>
  <c r="J181" i="3"/>
  <c r="K181" i="3"/>
  <c r="L180" i="3"/>
  <c r="M179" i="3"/>
  <c r="B180" i="3"/>
  <c r="C180" i="3"/>
  <c r="J182" i="3" l="1"/>
  <c r="K182" i="3"/>
  <c r="B181" i="3"/>
  <c r="C181" i="3"/>
  <c r="G181" i="3"/>
  <c r="F181" i="3"/>
  <c r="I180" i="3"/>
  <c r="H181" i="3"/>
  <c r="L181" i="3"/>
  <c r="M180" i="3"/>
  <c r="D181" i="3"/>
  <c r="E180" i="3"/>
  <c r="G182" i="3" l="1"/>
  <c r="F182" i="3"/>
  <c r="H182" i="3"/>
  <c r="I181" i="3"/>
  <c r="B182" i="3"/>
  <c r="C182" i="3"/>
  <c r="E181" i="3"/>
  <c r="D182" i="3"/>
  <c r="M181" i="3"/>
  <c r="L182" i="3"/>
  <c r="K183" i="3"/>
  <c r="J183" i="3"/>
  <c r="E182" i="3" l="1"/>
  <c r="D183" i="3"/>
  <c r="H183" i="3"/>
  <c r="I182" i="3"/>
  <c r="C183" i="3"/>
  <c r="B183" i="3"/>
  <c r="M182" i="3"/>
  <c r="L183" i="3"/>
  <c r="K184" i="3"/>
  <c r="J184" i="3"/>
  <c r="G183" i="3"/>
  <c r="F183" i="3"/>
  <c r="M183" i="3" l="1"/>
  <c r="L184" i="3"/>
  <c r="C184" i="3"/>
  <c r="B184" i="3"/>
  <c r="K185" i="3"/>
  <c r="J185" i="3"/>
  <c r="F184" i="3"/>
  <c r="G184" i="3"/>
  <c r="H184" i="3"/>
  <c r="I183" i="3"/>
  <c r="E183" i="3"/>
  <c r="D184" i="3"/>
  <c r="F185" i="3" l="1"/>
  <c r="G185" i="3"/>
  <c r="J186" i="3"/>
  <c r="K186" i="3"/>
  <c r="D185" i="3"/>
  <c r="E184" i="3"/>
  <c r="M184" i="3"/>
  <c r="L185" i="3"/>
  <c r="C185" i="3"/>
  <c r="B185" i="3"/>
  <c r="H185" i="3"/>
  <c r="I184" i="3"/>
  <c r="L186" i="3" l="1"/>
  <c r="M185" i="3"/>
  <c r="I185" i="3"/>
  <c r="H186" i="3"/>
  <c r="C186" i="3"/>
  <c r="B186" i="3"/>
  <c r="D186" i="3"/>
  <c r="E185" i="3"/>
  <c r="J187" i="3"/>
  <c r="K187" i="3"/>
  <c r="F186" i="3"/>
  <c r="G186" i="3"/>
  <c r="D187" i="3" l="1"/>
  <c r="E186" i="3"/>
  <c r="I186" i="3"/>
  <c r="H187" i="3"/>
  <c r="C187" i="3"/>
  <c r="B187" i="3"/>
  <c r="G187" i="3"/>
  <c r="F187" i="3"/>
  <c r="J188" i="3"/>
  <c r="K188" i="3"/>
  <c r="L187" i="3"/>
  <c r="M186" i="3"/>
  <c r="B188" i="3" l="1"/>
  <c r="C188" i="3"/>
  <c r="L188" i="3"/>
  <c r="M187" i="3"/>
  <c r="I187" i="3"/>
  <c r="H188" i="3"/>
  <c r="G188" i="3"/>
  <c r="F188" i="3"/>
  <c r="J189" i="3"/>
  <c r="K189" i="3"/>
  <c r="D188" i="3"/>
  <c r="E187" i="3"/>
  <c r="L189" i="3" l="1"/>
  <c r="M188" i="3"/>
  <c r="G189" i="3"/>
  <c r="F189" i="3"/>
  <c r="D189" i="3"/>
  <c r="E188" i="3"/>
  <c r="I188" i="3"/>
  <c r="H189" i="3"/>
  <c r="J190" i="3"/>
  <c r="K190" i="3"/>
  <c r="B189" i="3"/>
  <c r="C189" i="3"/>
  <c r="B190" i="3" l="1"/>
  <c r="C190" i="3"/>
  <c r="E189" i="3"/>
  <c r="D190" i="3"/>
  <c r="H190" i="3"/>
  <c r="I189" i="3"/>
  <c r="G190" i="3"/>
  <c r="F190" i="3"/>
  <c r="K191" i="3"/>
  <c r="J191" i="3"/>
  <c r="M189" i="3"/>
  <c r="L190" i="3"/>
  <c r="G191" i="3" l="1"/>
  <c r="F191" i="3"/>
  <c r="M190" i="3"/>
  <c r="L191" i="3"/>
  <c r="E190" i="3"/>
  <c r="D191" i="3"/>
  <c r="H191" i="3"/>
  <c r="I190" i="3"/>
  <c r="K192" i="3"/>
  <c r="J192" i="3"/>
  <c r="C191" i="3"/>
  <c r="B191" i="3"/>
  <c r="E191" i="3" l="1"/>
  <c r="D192" i="3"/>
  <c r="C192" i="3"/>
  <c r="B192" i="3"/>
  <c r="K193" i="3"/>
  <c r="J193" i="3"/>
  <c r="H192" i="3"/>
  <c r="I191" i="3"/>
  <c r="M191" i="3"/>
  <c r="L192" i="3"/>
  <c r="F192" i="3"/>
  <c r="G192" i="3"/>
  <c r="K194" i="3" l="1"/>
  <c r="J194" i="3"/>
  <c r="H193" i="3"/>
  <c r="I192" i="3"/>
  <c r="C193" i="3"/>
  <c r="B193" i="3"/>
  <c r="M192" i="3"/>
  <c r="L193" i="3"/>
  <c r="F193" i="3"/>
  <c r="G193" i="3"/>
  <c r="E192" i="3"/>
  <c r="D193" i="3"/>
  <c r="D194" i="3" l="1"/>
  <c r="E193" i="3"/>
  <c r="L194" i="3"/>
  <c r="M193" i="3"/>
  <c r="I193" i="3"/>
  <c r="H194" i="3"/>
  <c r="J195" i="3"/>
  <c r="K195" i="3"/>
  <c r="B194" i="3"/>
  <c r="C194" i="3"/>
  <c r="F194" i="3"/>
  <c r="G194" i="3"/>
  <c r="J196" i="3" l="1"/>
  <c r="K196" i="3"/>
  <c r="I194" i="3"/>
  <c r="H195" i="3"/>
  <c r="L195" i="3"/>
  <c r="M194" i="3"/>
  <c r="G195" i="3"/>
  <c r="F195" i="3"/>
  <c r="B195" i="3"/>
  <c r="C195" i="3"/>
  <c r="D195" i="3"/>
  <c r="E194" i="3"/>
  <c r="G196" i="3" l="1"/>
  <c r="F196" i="3"/>
  <c r="D196" i="3"/>
  <c r="E195" i="3"/>
  <c r="I195" i="3"/>
  <c r="H196" i="3"/>
  <c r="L196" i="3"/>
  <c r="M195" i="3"/>
  <c r="B196" i="3"/>
  <c r="C196" i="3"/>
  <c r="J197" i="3"/>
  <c r="K197" i="3"/>
  <c r="H197" i="3" l="1"/>
  <c r="I196" i="3"/>
  <c r="D197" i="3"/>
  <c r="E196" i="3"/>
  <c r="G197" i="3"/>
  <c r="F197" i="3"/>
  <c r="L197" i="3"/>
  <c r="M196" i="3"/>
  <c r="J198" i="3"/>
  <c r="K198" i="3"/>
  <c r="B197" i="3"/>
  <c r="C197" i="3"/>
  <c r="B198" i="3" l="1"/>
  <c r="C198" i="3"/>
  <c r="G198" i="3"/>
  <c r="F198" i="3"/>
  <c r="E197" i="3"/>
  <c r="D198" i="3"/>
  <c r="M197" i="3"/>
  <c r="L198" i="3"/>
  <c r="K199" i="3"/>
  <c r="J199" i="3"/>
  <c r="H198" i="3"/>
  <c r="I197" i="3"/>
  <c r="H199" i="3" l="1"/>
  <c r="I198" i="3"/>
  <c r="E198" i="3"/>
  <c r="D199" i="3"/>
  <c r="K200" i="3"/>
  <c r="J200" i="3"/>
  <c r="M198" i="3"/>
  <c r="L199" i="3"/>
  <c r="G199" i="3"/>
  <c r="F199" i="3"/>
  <c r="C199" i="3"/>
  <c r="B199" i="3"/>
  <c r="M199" i="3" l="1"/>
  <c r="L200" i="3"/>
  <c r="K201" i="3"/>
  <c r="J201" i="3"/>
  <c r="E199" i="3"/>
  <c r="D200" i="3"/>
  <c r="C200" i="3"/>
  <c r="B200" i="3"/>
  <c r="F200" i="3"/>
  <c r="G200" i="3"/>
  <c r="H200" i="3"/>
  <c r="I199" i="3"/>
  <c r="E200" i="3" l="1"/>
  <c r="D201" i="3"/>
  <c r="C201" i="3"/>
  <c r="B201" i="3"/>
  <c r="K202" i="3"/>
  <c r="J202" i="3"/>
  <c r="M200" i="3"/>
  <c r="L201" i="3"/>
  <c r="I200" i="3"/>
  <c r="H201" i="3"/>
  <c r="F201" i="3"/>
  <c r="G201" i="3"/>
  <c r="C202" i="3" l="1"/>
  <c r="B202" i="3"/>
  <c r="K203" i="3"/>
  <c r="J203" i="3"/>
  <c r="F202" i="3"/>
  <c r="G202" i="3"/>
  <c r="I201" i="3"/>
  <c r="H202" i="3"/>
  <c r="L202" i="3"/>
  <c r="M201" i="3"/>
  <c r="D202" i="3"/>
  <c r="E201" i="3"/>
  <c r="I202" i="3" l="1"/>
  <c r="H203" i="3"/>
  <c r="J204" i="3"/>
  <c r="E12" i="3" s="1"/>
  <c r="K204" i="3"/>
  <c r="G203" i="3"/>
  <c r="F203" i="3"/>
  <c r="C203" i="3"/>
  <c r="B203" i="3"/>
  <c r="D203" i="3"/>
  <c r="E202" i="3"/>
  <c r="L203" i="3"/>
  <c r="M202" i="3"/>
  <c r="B204" i="3" l="1"/>
  <c r="E10" i="3" s="1"/>
  <c r="C204" i="3"/>
  <c r="I203" i="3"/>
  <c r="H204" i="3"/>
  <c r="G204" i="3"/>
  <c r="F204" i="3"/>
  <c r="E11" i="3" s="1"/>
  <c r="L204" i="3"/>
  <c r="M204" i="3" s="1"/>
  <c r="E9" i="3" s="1"/>
  <c r="M203" i="3"/>
  <c r="D204" i="3"/>
  <c r="E204" i="3" s="1"/>
  <c r="E7" i="3" s="1"/>
  <c r="E203" i="3"/>
  <c r="I204" i="3" l="1"/>
  <c r="E8" i="3" s="1"/>
  <c r="E6" i="3" s="1"/>
  <c r="D16" i="3" s="1"/>
</calcChain>
</file>

<file path=xl/sharedStrings.xml><?xml version="1.0" encoding="utf-8"?>
<sst xmlns="http://schemas.openxmlformats.org/spreadsheetml/2006/main" count="240" uniqueCount="179">
  <si>
    <t>Help - Instructions</t>
  </si>
  <si>
    <t>Yellow cells are for user inputs. Blue cells are key outputs. Green cells are model calculations. Stress-test the assumptions; the workbook is a decision aid, not financial advice.</t>
  </si>
  <si>
    <t>Sheet</t>
  </si>
  <si>
    <t>Purpose</t>
  </si>
  <si>
    <t>What to edit</t>
  </si>
  <si>
    <t>How to read it</t>
  </si>
  <si>
    <t>How to interpret recommendations</t>
  </si>
  <si>
    <t>Recommendations are based on the assumptions you enter. Use the sensitivity tables on each model sheet to see how conclusions change when key drivers move up or down.</t>
  </si>
  <si>
    <t>Inputs</t>
  </si>
  <si>
    <t>Plain-English Interpretation</t>
  </si>
  <si>
    <t>Driver</t>
  </si>
  <si>
    <t>Low</t>
  </si>
  <si>
    <t>Base</t>
  </si>
  <si>
    <t>High</t>
  </si>
  <si>
    <t>Year</t>
  </si>
  <si>
    <t>Pay Down Debt vs Invest</t>
  </si>
  <si>
    <t>Use this sheet to compare whether surplus cash should reduce debt or be invested instead. The model compares guaranteed interest saved versus uncertain market returns.</t>
  </si>
  <si>
    <t>Strategy Summary</t>
  </si>
  <si>
    <t>Scenario Stress Test</t>
  </si>
  <si>
    <t>Current debt balance</t>
  </si>
  <si>
    <t>Best strategy by ending net worth</t>
  </si>
  <si>
    <t>Scenario</t>
  </si>
  <si>
    <t>Net return used</t>
  </si>
  <si>
    <t>Approx. ending value of investing extra only</t>
  </si>
  <si>
    <t>Debt rate benchmark</t>
  </si>
  <si>
    <t>Comment</t>
  </si>
  <si>
    <t>Annual debt interest rate</t>
  </si>
  <si>
    <t>Ending net worth: Debt first</t>
  </si>
  <si>
    <t>Conservative</t>
  </si>
  <si>
    <t>Minimum monthly payment</t>
  </si>
  <si>
    <t>Ending net worth: Invest extra</t>
  </si>
  <si>
    <t>Extra monthly amount available</t>
  </si>
  <si>
    <t>Ending net worth: Split strategy</t>
  </si>
  <si>
    <t>Optimistic</t>
  </si>
  <si>
    <t>Conservative investment return</t>
  </si>
  <si>
    <t>Debt payoff month: Debt first</t>
  </si>
  <si>
    <t>Base investment return</t>
  </si>
  <si>
    <t>Debt payoff month: Invest extra</t>
  </si>
  <si>
    <t>Optimistic investment return</t>
  </si>
  <si>
    <t>Debt payoff month: Split strategy</t>
  </si>
  <si>
    <t>Investment tax drag / fees</t>
  </si>
  <si>
    <t>Approx. break-even gross investment return</t>
  </si>
  <si>
    <t>Split strategy: % of extra cash to debt</t>
  </si>
  <si>
    <t>Time horizon (years)</t>
  </si>
  <si>
    <t>Discount rate (optional)</t>
  </si>
  <si>
    <t>Emergency fund / liquidity note</t>
  </si>
  <si>
    <t>Keep a cash buffer before taking risk.</t>
  </si>
  <si>
    <t>Monthly debt rate</t>
  </si>
  <si>
    <t>Monthly net investment rate</t>
  </si>
  <si>
    <t>Monthly Strategy Schedule</t>
  </si>
  <si>
    <t>Month</t>
  </si>
  <si>
    <t>Debt Bal. S1</t>
  </si>
  <si>
    <t>Interest S1</t>
  </si>
  <si>
    <t>Invest Bal. S1</t>
  </si>
  <si>
    <t>Net Worth S1</t>
  </si>
  <si>
    <t>Debt Bal. S2</t>
  </si>
  <si>
    <t>Interest S2</t>
  </si>
  <si>
    <t>Invest Bal. S2</t>
  </si>
  <si>
    <t>Net Worth S2</t>
  </si>
  <si>
    <t>Debt Bal. S3</t>
  </si>
  <si>
    <t>Interest S3</t>
  </si>
  <si>
    <t>Invest Bal. S3</t>
  </si>
  <si>
    <t>Net Worth S3</t>
  </si>
  <si>
    <t>Debt first</t>
  </si>
  <si>
    <t>Invest extra</t>
  </si>
  <si>
    <t>Split strategy</t>
  </si>
  <si>
    <t>Subscription Cost Audit</t>
  </si>
  <si>
    <t>Enter recurring services and small repeat spending items. The sheet annualizes the cost, projects long-run cost, highlights low-value subscriptions, and estimates what cancellation savings could grow to if invested instead.</t>
  </si>
  <si>
    <t>Assumptions &amp; Summary</t>
  </si>
  <si>
    <t>Discount rate for present value</t>
  </si>
  <si>
    <t>Investment return if savings are invested</t>
  </si>
  <si>
    <t>Default annual price increase</t>
  </si>
  <si>
    <t>Analysis horizon (years)</t>
  </si>
  <si>
    <t>Subscription / Service</t>
  </si>
  <si>
    <t>Category</t>
  </si>
  <si>
    <t>Cost</t>
  </si>
  <si>
    <t>Billing Frequency</t>
  </si>
  <si>
    <t>Start Month</t>
  </si>
  <si>
    <t>Annual Price Increase</t>
  </si>
  <si>
    <t>Times Used / Month</t>
  </si>
  <si>
    <t>Essential / Nice-to-have / Unused</t>
  </si>
  <si>
    <t>Cancellation Difficulty / Notes</t>
  </si>
  <si>
    <t>Monthly Equivalent</t>
  </si>
  <si>
    <t>Annualized Cost</t>
  </si>
  <si>
    <t>First-Year Cost</t>
  </si>
  <si>
    <t>5Y Nominal Cost</t>
  </si>
  <si>
    <t>10Y Nominal Cost</t>
  </si>
  <si>
    <t>PV of Future Costs</t>
  </si>
  <si>
    <t>Cost per Use</t>
  </si>
  <si>
    <t>10Y FV if Cancelled Now</t>
  </si>
  <si>
    <t>Candidate Score</t>
  </si>
  <si>
    <t>Annual Cost</t>
  </si>
  <si>
    <t>Streaming Bundle</t>
  </si>
  <si>
    <t>Entertainment</t>
  </si>
  <si>
    <t>Monthly</t>
  </si>
  <si>
    <t>Nice-to-have</t>
  </si>
  <si>
    <t>Easy</t>
  </si>
  <si>
    <t>Music Service</t>
  </si>
  <si>
    <t>Essential</t>
  </si>
  <si>
    <t>Productivity</t>
  </si>
  <si>
    <t>Cloud Storage</t>
  </si>
  <si>
    <t>Medium</t>
  </si>
  <si>
    <t>Health</t>
  </si>
  <si>
    <t>Gym Membership</t>
  </si>
  <si>
    <t>Household</t>
  </si>
  <si>
    <t>News Subscription</t>
  </si>
  <si>
    <t>Information</t>
  </si>
  <si>
    <t>Utilities</t>
  </si>
  <si>
    <t>Password Manager</t>
  </si>
  <si>
    <t>Annual</t>
  </si>
  <si>
    <t>Meditation App</t>
  </si>
  <si>
    <t>Other</t>
  </si>
  <si>
    <t>Gaming Pass</t>
  </si>
  <si>
    <t>Unused</t>
  </si>
  <si>
    <t>Meal Kit</t>
  </si>
  <si>
    <t>Hard</t>
  </si>
  <si>
    <t>Software Tool</t>
  </si>
  <si>
    <t>Projected Annual Spend</t>
  </si>
  <si>
    <t>Cumulative Spend</t>
  </si>
  <si>
    <t>Magazine</t>
  </si>
  <si>
    <t>VPN</t>
  </si>
  <si>
    <t>Donation / Membership</t>
  </si>
  <si>
    <t>Extra TV Package</t>
  </si>
  <si>
    <t>Backup Service</t>
  </si>
  <si>
    <t>Top cancellation candidates</t>
  </si>
  <si>
    <t>Name</t>
  </si>
  <si>
    <t>Classification</t>
  </si>
  <si>
    <t>Cheap Appliance vs Durable Appliance</t>
  </si>
  <si>
    <t>Compare appliance options over a chosen horizon. The model includes purchase, energy, maintenance, repair, replacement timing, salvage value, and present-value cost.</t>
  </si>
  <si>
    <t>Assumptions &amp; Recommendation</t>
  </si>
  <si>
    <t>Electricity price (SEK / kWh)</t>
  </si>
  <si>
    <t>Cheapest upfront</t>
  </si>
  <si>
    <t>Inflation rate</t>
  </si>
  <si>
    <t>Lowest PV lifecycle cost</t>
  </si>
  <si>
    <t>Discount rate</t>
  </si>
  <si>
    <t>Lowest equivalent annual cost</t>
  </si>
  <si>
    <t>Recommendation</t>
  </si>
  <si>
    <t>Option Name</t>
  </si>
  <si>
    <t>Appliance Type</t>
  </si>
  <si>
    <t>Purchase Price</t>
  </si>
  <si>
    <t>Expected Lifespan (yrs)</t>
  </si>
  <si>
    <t>Annual Energy (kWh)</t>
  </si>
  <si>
    <t>Annual Maintenance</t>
  </si>
  <si>
    <t>Expected Repair Cost</t>
  </si>
  <si>
    <t>Repair Timing (yr)</t>
  </si>
  <si>
    <t>Replacement Cycle (yrs)</t>
  </si>
  <si>
    <t>Residual / Salvage</t>
  </si>
  <si>
    <t>Upfront Cost</t>
  </si>
  <si>
    <t>Total Nominal Cost</t>
  </si>
  <si>
    <t>PV Lifecycle Cost</t>
  </si>
  <si>
    <t>Equivalent Annual Cost</t>
  </si>
  <si>
    <t>Cost per Year of Use</t>
  </si>
  <si>
    <t>Cheap</t>
  </si>
  <si>
    <t>Durable</t>
  </si>
  <si>
    <t>Mid-range</t>
  </si>
  <si>
    <t>Cheap Model</t>
  </si>
  <si>
    <t>Washing machine</t>
  </si>
  <si>
    <t>Durable Model</t>
  </si>
  <si>
    <t>Mid-range Model</t>
  </si>
  <si>
    <t>Gap at Low</t>
  </si>
  <si>
    <t>Gap at High</t>
  </si>
  <si>
    <t>Electricity price</t>
  </si>
  <si>
    <t>Durable lifespan</t>
  </si>
  <si>
    <t>Durable repair cost</t>
  </si>
  <si>
    <t>Debt vs Invest</t>
  </si>
  <si>
    <t>Compare paying down debt first versus investing extra cash.</t>
  </si>
  <si>
    <t>Debt rate, monthly payment, extra cash, investment return, horizon.</t>
  </si>
  <si>
    <t>Best strategy is the one with the highest ending net worth under the assumptions.</t>
  </si>
  <si>
    <t>Subscription Audit</t>
  </si>
  <si>
    <t>Audit recurring costs and identify cancellation candidates.</t>
  </si>
  <si>
    <t>Subscription costs, usage, classification, price increases.</t>
  </si>
  <si>
    <t>High annual cost + low use + not essential = strongest cancellation candidate.</t>
  </si>
  <si>
    <t>Cheap vs Durable Appliance</t>
  </si>
  <si>
    <t>Compare appliance options using lifecycle cost and equivalent annual cost.</t>
  </si>
  <si>
    <t>Purchase price, energy, lifespan, repair timing, discount rate.</t>
  </si>
  <si>
    <t>Lower PV lifecycle cost or lower EAC generally indicates the economically superior choice.</t>
  </si>
  <si>
    <t>Lower returns make debt paydown more attractive.</t>
  </si>
  <si>
    <t>Main planning case.</t>
  </si>
  <si>
    <t>Higher returns improve the case for investing.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</si>
</sst>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SEK&quot;"/>
    <numFmt numFmtId="165" formatCode="0.0%"/>
    <numFmt numFmtId="166" formatCode="0.000%"/>
  </numFmts>
  <fonts count="5" x14ac:knownFonts="1">
    <font>
      <sz val="11"/>
      <color theme="1"/>
      <name val="Calibri"/>
    </font>
    <font>
      <b/>
      <sz val="16"/>
      <color rgb="FFFFFFFF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9FC"/>
      </patternFill>
    </fill>
    <fill>
      <patternFill patternType="solid">
        <fgColor rgb="FFD9EAF7"/>
      </patternFill>
    </fill>
    <fill>
      <patternFill patternType="solid">
        <fgColor rgb="FFDCE6F1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4" borderId="1" xfId="0" applyNumberFormat="1" applyFill="1" applyBorder="1"/>
    <xf numFmtId="0" fontId="0" fillId="4" borderId="1" xfId="0" applyFill="1" applyBorder="1"/>
    <xf numFmtId="0" fontId="4" fillId="0" borderId="1" xfId="0" applyFont="1" applyBorder="1"/>
    <xf numFmtId="0" fontId="4" fillId="5" borderId="1" xfId="0" applyFont="1" applyFill="1" applyBorder="1" applyAlignment="1">
      <alignment horizontal="left" vertical="center"/>
    </xf>
    <xf numFmtId="0" fontId="0" fillId="6" borderId="1" xfId="0" applyFill="1" applyBorder="1"/>
    <xf numFmtId="0" fontId="0" fillId="7" borderId="1" xfId="0" applyFill="1" applyBorder="1"/>
    <xf numFmtId="164" fontId="0" fillId="7" borderId="1" xfId="0" applyNumberFormat="1" applyFill="1" applyBorder="1"/>
    <xf numFmtId="165" fontId="0" fillId="7" borderId="1" xfId="0" applyNumberFormat="1" applyFill="1" applyBorder="1"/>
    <xf numFmtId="164" fontId="0" fillId="6" borderId="1" xfId="0" applyNumberFormat="1" applyFill="1" applyBorder="1"/>
    <xf numFmtId="165" fontId="0" fillId="6" borderId="1" xfId="0" applyNumberFormat="1" applyFill="1" applyBorder="1"/>
    <xf numFmtId="1" fontId="0" fillId="7" borderId="1" xfId="0" applyNumberForma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/>
    <xf numFmtId="0" fontId="0" fillId="0" borderId="1" xfId="0" applyBorder="1" applyAlignment="1">
      <alignment vertical="top" wrapText="1"/>
    </xf>
    <xf numFmtId="166" fontId="0" fillId="7" borderId="1" xfId="0" applyNumberFormat="1" applyFill="1" applyBorder="1"/>
    <xf numFmtId="166" fontId="0" fillId="4" borderId="1" xfId="0" applyNumberFormat="1" applyFill="1" applyBorder="1"/>
    <xf numFmtId="0" fontId="0" fillId="3" borderId="0" xfId="0" applyFill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3"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76700aaf9eb74d34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Net Worth Over Time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'Debt vs Invest'!$P$207</c:f>
              <c:strCache>
                <c:ptCount val="1"/>
                <c:pt idx="0">
                  <c:v>Debt first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'Debt vs Invest'!$O$208:$O$220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'Debt vs Invest'!$P$208:$P$220</c:f>
              <c:numCache>
                <c:formatCode>General</c:formatCode>
                <c:ptCount val="13"/>
                <c:pt idx="0">
                  <c:v>-83351</c:v>
                </c:pt>
                <c:pt idx="1">
                  <c:v>-82687.863680086288</c:v>
                </c:pt>
                <c:pt idx="2">
                  <c:v>-82023.558920197756</c:v>
                </c:pt>
                <c:pt idx="3">
                  <c:v>-81358.083661554134</c:v>
                </c:pt>
                <c:pt idx="4">
                  <c:v>-80691.435841747589</c:v>
                </c:pt>
                <c:pt idx="5">
                  <c:v>-80023.613394736341</c:v>
                </c:pt>
                <c:pt idx="6">
                  <c:v>-79354.614250838291</c:v>
                </c:pt>
                <c:pt idx="7">
                  <c:v>-78684.436336724553</c:v>
                </c:pt>
                <c:pt idx="8">
                  <c:v>-78013.077575413074</c:v>
                </c:pt>
                <c:pt idx="9">
                  <c:v>-77340.535886262165</c:v>
                </c:pt>
                <c:pt idx="10">
                  <c:v>-76666.809184964062</c:v>
                </c:pt>
                <c:pt idx="11">
                  <c:v>-75991.895383538489</c:v>
                </c:pt>
                <c:pt idx="12">
                  <c:v>-75315.792390326154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501-4ED8-8C7A-D905CCD1D89C}"/>
            </c:ext>
          </c:extLst>
        </c:ser>
        <c:ser>
          <c:idx val="1"/>
          <c:order val="1"/>
          <c:tx>
            <c:strRef>
              <c:f>'Debt vs Invest'!$Q$207</c:f>
              <c:strCache>
                <c:ptCount val="1"/>
                <c:pt idx="0">
                  <c:v>Invest extra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'Debt vs Invest'!$O$208:$O$220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'Debt vs Invest'!$Q$208:$Q$220</c:f>
              <c:numCache>
                <c:formatCode>General</c:formatCode>
                <c:ptCount val="13"/>
                <c:pt idx="0">
                  <c:v>-83351</c:v>
                </c:pt>
                <c:pt idx="1">
                  <c:v>-82687.863680086288</c:v>
                </c:pt>
                <c:pt idx="2">
                  <c:v>-82023.484212668482</c:v>
                </c:pt>
                <c:pt idx="3">
                  <c:v>-81357.858996637646</c:v>
                </c:pt>
                <c:pt idx="4">
                  <c:v>-80690.985424043945</c:v>
                </c:pt>
                <c:pt idx="5">
                  <c:v>-80022.860880072214</c:v>
                </c:pt>
                <c:pt idx="6">
                  <c:v>-79353.48274301739</c:v>
                </c:pt>
                <c:pt idx="7">
                  <c:v>-78682.848384259822</c:v>
                </c:pt>
                <c:pt idx="8">
                  <c:v>-78010.955168240413</c:v>
                </c:pt>
                <c:pt idx="9">
                  <c:v>-77337.800452435811</c:v>
                </c:pt>
                <c:pt idx="10">
                  <c:v>-76663.381587333293</c:v>
                </c:pt>
                <c:pt idx="11">
                  <c:v>-75987.695916405632</c:v>
                </c:pt>
                <c:pt idx="12">
                  <c:v>-75310.740776085906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501-4ED8-8C7A-D905CCD1D89C}"/>
            </c:ext>
          </c:extLst>
        </c:ser>
        <c:ser>
          <c:idx val="2"/>
          <c:order val="2"/>
          <c:tx>
            <c:strRef>
              <c:f>'Debt vs Invest'!$R$207</c:f>
              <c:strCache>
                <c:ptCount val="1"/>
                <c:pt idx="0">
                  <c:v>Split strategy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'Debt vs Invest'!$O$208:$O$220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'Debt vs Invest'!$R$208:$R$220</c:f>
              <c:numCache>
                <c:formatCode>General</c:formatCode>
                <c:ptCount val="13"/>
                <c:pt idx="0">
                  <c:v>-83351</c:v>
                </c:pt>
                <c:pt idx="1">
                  <c:v>-82687.863680086288</c:v>
                </c:pt>
                <c:pt idx="2">
                  <c:v>-82023.521566433134</c:v>
                </c:pt>
                <c:pt idx="3">
                  <c:v>-81357.97132909589</c:v>
                </c:pt>
                <c:pt idx="4">
                  <c:v>-80691.21063289576</c:v>
                </c:pt>
                <c:pt idx="5">
                  <c:v>-80023.23713740427</c:v>
                </c:pt>
                <c:pt idx="6">
                  <c:v>-79354.048496927833</c:v>
                </c:pt>
                <c:pt idx="7">
                  <c:v>-78683.642360492173</c:v>
                </c:pt>
                <c:pt idx="8">
                  <c:v>-78012.016371826743</c:v>
                </c:pt>
                <c:pt idx="9">
                  <c:v>-77339.168169348981</c:v>
                </c:pt>
                <c:pt idx="10">
                  <c:v>-76665.095386148678</c:v>
                </c:pt>
                <c:pt idx="11">
                  <c:v>-75989.79564997206</c:v>
                </c:pt>
                <c:pt idx="12">
                  <c:v>-75313.26658320603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501-4ED8-8C7A-D905CCD1D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r>
                  <a:rPr lang="en-US"/>
                  <a:t>SEK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1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Cost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'Subscription Audit'!$U$10</c:f>
              <c:strCache>
                <c:ptCount val="1"/>
                <c:pt idx="0">
                  <c:v>Annual Cost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3E2E-434F-A67C-F9FFD5D1EA9E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3E2E-434F-A67C-F9FFD5D1EA9E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3E2E-434F-A67C-F9FFD5D1EA9E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7-3E2E-434F-A67C-F9FFD5D1EA9E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9-3E2E-434F-A67C-F9FFD5D1EA9E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B-3E2E-434F-A67C-F9FFD5D1EA9E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D-3E2E-434F-A67C-F9FFD5D1EA9E}"/>
              </c:ext>
            </c:extLst>
          </c:dPt>
          <c:cat>
            <c:strRef>
              <c:f>'Subscription Audit'!$T$11:$T$17</c:f>
              <c:strCache>
                <c:ptCount val="2"/>
                <c:pt idx="0">
                  <c:v>Health</c:v>
                </c:pt>
                <c:pt idx="1">
                  <c:v>Household</c:v>
                </c:pt>
              </c:strCache>
            </c:strRef>
          </c:cat>
          <c:val>
            <c:numRef>
              <c:f>'Subscription Audit'!$U$11:$U$17</c:f>
              <c:numCache>
                <c:formatCode>#,##0\ "SEK"</c:formatCode>
                <c:ptCount val="2"/>
                <c:pt idx="0">
                  <c:v>6687</c:v>
                </c:pt>
                <c:pt idx="1">
                  <c:v>10788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E2E-434F-A67C-F9FFD5D1E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r>
                  <a:rPr lang="en-US" sz="1000" b="0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SEK</a:t>
                </a:r>
              </a:p>
            </c:rich>
          </c:tx>
          <c:overlay val="0"/>
        </c:title>
        <c:numFmt formatCode="#,##0\ &quot;SEK&quot;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Cumulative Subscription Cost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'Subscription Audit'!$V$20</c:f>
              <c:strCache>
                <c:ptCount val="1"/>
                <c:pt idx="0">
                  <c:v>Cumulative Spend</c:v>
                </c:pt>
              </c:strCache>
            </c:strRef>
          </c:tx>
          <c:marker>
            <c:symbol val="none"/>
          </c:marker>
          <c:dPt>
            <c:idx val="0"/>
            <c:bubble3D val="0"/>
            <c:spPr>
              <a:ln w="28575">
                <a:solidFill>
                  <a:schemeClr val="accen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BA5D-4A98-929B-2144EC35A1EA}"/>
              </c:ext>
            </c:extLst>
          </c:dPt>
          <c:dPt>
            <c:idx val="1"/>
            <c:bubble3D val="0"/>
            <c:spPr>
              <a:ln w="28575">
                <a:solidFill>
                  <a:schemeClr val="accent2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BA5D-4A98-929B-2144EC35A1EA}"/>
              </c:ext>
            </c:extLst>
          </c:dPt>
          <c:dPt>
            <c:idx val="2"/>
            <c:bubble3D val="0"/>
            <c:spPr>
              <a:ln w="28575">
                <a:solidFill>
                  <a:schemeClr val="accent3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BA5D-4A98-929B-2144EC35A1EA}"/>
              </c:ext>
            </c:extLst>
          </c:dPt>
          <c:dPt>
            <c:idx val="3"/>
            <c:bubble3D val="0"/>
            <c:spPr>
              <a:ln w="28575">
                <a:solidFill>
                  <a:schemeClr val="accent4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BA5D-4A98-929B-2144EC35A1EA}"/>
              </c:ext>
            </c:extLst>
          </c:dPt>
          <c:dPt>
            <c:idx val="4"/>
            <c:bubble3D val="0"/>
            <c:spPr>
              <a:ln w="28575">
                <a:solidFill>
                  <a:schemeClr val="accent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BA5D-4A98-929B-2144EC35A1EA}"/>
              </c:ext>
            </c:extLst>
          </c:dPt>
          <c:dPt>
            <c:idx val="5"/>
            <c:bubble3D val="0"/>
            <c:spPr>
              <a:ln w="28575"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BA5D-4A98-929B-2144EC35A1EA}"/>
              </c:ext>
            </c:extLst>
          </c:dPt>
          <c:dPt>
            <c:idx val="6"/>
            <c:bubble3D val="0"/>
            <c:spPr>
              <a:ln w="28575">
                <a:solidFill>
                  <a:schemeClr val="accent1">
                    <a:lumMod val="6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D-BA5D-4A98-929B-2144EC35A1EA}"/>
              </c:ext>
            </c:extLst>
          </c:dPt>
          <c:dPt>
            <c:idx val="7"/>
            <c:bubble3D val="0"/>
            <c:spPr>
              <a:ln w="28575">
                <a:solidFill>
                  <a:schemeClr val="accent2">
                    <a:lumMod val="6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F-BA5D-4A98-929B-2144EC35A1EA}"/>
              </c:ext>
            </c:extLst>
          </c:dPt>
          <c:dPt>
            <c:idx val="8"/>
            <c:bubble3D val="0"/>
            <c:spPr>
              <a:ln w="28575">
                <a:solidFill>
                  <a:schemeClr val="accent3">
                    <a:lumMod val="6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1-BA5D-4A98-929B-2144EC35A1EA}"/>
              </c:ext>
            </c:extLst>
          </c:dPt>
          <c:dPt>
            <c:idx val="9"/>
            <c:bubble3D val="0"/>
            <c:spPr>
              <a:ln w="28575">
                <a:solidFill>
                  <a:schemeClr val="accent4">
                    <a:lumMod val="6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3-BA5D-4A98-929B-2144EC35A1EA}"/>
              </c:ext>
            </c:extLst>
          </c:dPt>
          <c:cat>
            <c:numRef>
              <c:f>'Subscription Audit'!$T$21:$T$30</c:f>
              <c:numCache>
                <c:formatCode>General</c:formatCode>
                <c:ptCount val="6"/>
                <c:pt idx="0">
                  <c:v>3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</c:numCache>
            </c:numRef>
          </c:cat>
          <c:val>
            <c:numRef>
              <c:f>'Subscription Audit'!$V$21:$V$30</c:f>
              <c:numCache>
                <c:formatCode>#,##0\ "SEK"</c:formatCode>
                <c:ptCount val="6"/>
                <c:pt idx="0">
                  <c:v>107312.92599999999</c:v>
                </c:pt>
                <c:pt idx="1">
                  <c:v>221194.26157460798</c:v>
                </c:pt>
                <c:pt idx="2">
                  <c:v>260683.14680610015</c:v>
                </c:pt>
                <c:pt idx="3">
                  <c:v>300961.80974222213</c:v>
                </c:pt>
                <c:pt idx="4">
                  <c:v>342046.04593706655</c:v>
                </c:pt>
                <c:pt idx="5">
                  <c:v>383951.96685580787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BA5D-4A98-929B-2144EC35A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r>
                  <a:rPr lang="en-US" sz="1000" b="0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SEK</a:t>
                </a:r>
              </a:p>
            </c:rich>
          </c:tx>
          <c:overlay val="0"/>
        </c:title>
        <c:numFmt formatCode="#,##0\ &quot;SEK&quot;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PV Lifecycle Cost by Option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'Cheap vs Durable Appliance'!$M$11</c:f>
              <c:strCache>
                <c:ptCount val="1"/>
                <c:pt idx="0">
                  <c:v>PV Lifecycle Cost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846B-425E-9F7B-A2982D3431B3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846B-425E-9F7B-A2982D3431B3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846B-425E-9F7B-A2982D3431B3}"/>
              </c:ext>
            </c:extLst>
          </c:dPt>
          <c:cat>
            <c:strRef>
              <c:f>'Cheap vs Durable Appliance'!$A$12:$A$14</c:f>
              <c:strCache>
                <c:ptCount val="3"/>
                <c:pt idx="0">
                  <c:v>Cheap Model</c:v>
                </c:pt>
                <c:pt idx="1">
                  <c:v>Durable Model</c:v>
                </c:pt>
                <c:pt idx="2">
                  <c:v>Mid-range Model</c:v>
                </c:pt>
              </c:strCache>
            </c:strRef>
          </c:cat>
          <c:val>
            <c:numRef>
              <c:f>'Cheap vs Durable Appliance'!$M$12:$M$14</c:f>
              <c:numCache>
                <c:formatCode>#,##0\ "SEK"</c:formatCode>
                <c:ptCount val="3"/>
                <c:pt idx="0">
                  <c:v>26565.36440461878</c:v>
                </c:pt>
                <c:pt idx="1">
                  <c:v>24544.891121378983</c:v>
                </c:pt>
                <c:pt idx="2">
                  <c:v>22448.531806762792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6B-425E-9F7B-A2982D343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r>
                  <a:rPr lang="en-US" sz="1000" b="0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SEK</a:t>
                </a:r>
              </a:p>
            </c:rich>
          </c:tx>
          <c:overlay val="0"/>
        </c:title>
        <c:numFmt formatCode="#,##0\ &quot;SEK&quot;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10</xdr:row>
      <xdr:rowOff>0</xdr:rowOff>
    </xdr:from>
    <xdr:ext cx="3600000" cy="2520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595223</xdr:colOff>
      <xdr:row>3</xdr:row>
      <xdr:rowOff>146649</xdr:rowOff>
    </xdr:from>
    <xdr:ext cx="3240000" cy="2160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22</xdr:col>
      <xdr:colOff>595223</xdr:colOff>
      <xdr:row>28</xdr:row>
      <xdr:rowOff>163901</xdr:rowOff>
    </xdr:from>
    <xdr:ext cx="3240000" cy="2160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43132</xdr:colOff>
      <xdr:row>16</xdr:row>
      <xdr:rowOff>129397</xdr:rowOff>
    </xdr:from>
    <xdr:ext cx="3240000" cy="2160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xltc:personList xmlns:xltc="http://schemas.microsoft.com/office/spreadsheetml/2018/threadedcomments">
  <xltc:person displayName="OpenAI" id="{8D5B82DA-2F97-DD55-9FFC-2E737CE33D02}"/>
</xl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SubscriptionsTable" displayName="SubscriptionsTable" ref="A10:R25">
  <autoFilter ref="A10:R25" xr:uid="{00000000-0009-0000-0100-000002000000}">
    <filterColumn colId="0">
      <filters>
        <filter val="Cloud Storage"/>
        <filter val="Donation / Membership"/>
        <filter val="Gaming Pass"/>
        <filter val="Gym Membership"/>
      </filters>
    </filterColumn>
  </autoFilter>
  <tableColumns count="18">
    <tableColumn id="1" xr3:uid="{00000000-0010-0000-0000-000001000000}" name="Subscription / Service"/>
    <tableColumn id="2" xr3:uid="{00000000-0010-0000-0000-000002000000}" name="Category"/>
    <tableColumn id="3" xr3:uid="{00000000-0010-0000-0000-000003000000}" name="Cost"/>
    <tableColumn id="4" xr3:uid="{00000000-0010-0000-0000-000004000000}" name="Billing Frequency"/>
    <tableColumn id="5" xr3:uid="{00000000-0010-0000-0000-000005000000}" name="Start Month"/>
    <tableColumn id="6" xr3:uid="{00000000-0010-0000-0000-000006000000}" name="Annual Price Increase"/>
    <tableColumn id="7" xr3:uid="{00000000-0010-0000-0000-000007000000}" name="Times Used / Month"/>
    <tableColumn id="8" xr3:uid="{00000000-0010-0000-0000-000008000000}" name="Essential / Nice-to-have / Unused"/>
    <tableColumn id="9" xr3:uid="{00000000-0010-0000-0000-000009000000}" name="Cancellation Difficulty / Notes"/>
    <tableColumn id="10" xr3:uid="{00000000-0010-0000-0000-00000A000000}" name="Monthly Equivalent"/>
    <tableColumn id="11" xr3:uid="{00000000-0010-0000-0000-00000B000000}" name="Annualized Cost"/>
    <tableColumn id="12" xr3:uid="{00000000-0010-0000-0000-00000C000000}" name="First-Year Cost"/>
    <tableColumn id="13" xr3:uid="{00000000-0010-0000-0000-00000D000000}" name="5Y Nominal Cost"/>
    <tableColumn id="14" xr3:uid="{00000000-0010-0000-0000-00000E000000}" name="10Y Nominal Cost"/>
    <tableColumn id="15" xr3:uid="{00000000-0010-0000-0000-00000F000000}" name="PV of Future Costs"/>
    <tableColumn id="16" xr3:uid="{00000000-0010-0000-0000-000010000000}" name="Cost per Use"/>
    <tableColumn id="17" xr3:uid="{00000000-0010-0000-0000-000011000000}" name="10Y FV if Cancelled Now"/>
    <tableColumn id="18" xr3:uid="{00000000-0010-0000-0000-000012000000}" name="Candidate Sc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ApplianceOptions" displayName="ApplianceOptions" ref="A11:O14">
  <autoFilter ref="A11:O14" xr:uid="{00000000-0009-0000-0100-000003000000}"/>
  <tableColumns count="15">
    <tableColumn id="1" xr3:uid="{00000000-0010-0000-0100-000001000000}" name="Option Name"/>
    <tableColumn id="2" xr3:uid="{00000000-0010-0000-0100-000002000000}" name="Appliance Type"/>
    <tableColumn id="3" xr3:uid="{00000000-0010-0000-0100-000003000000}" name="Purchase Price"/>
    <tableColumn id="4" xr3:uid="{00000000-0010-0000-0100-000004000000}" name="Expected Lifespan (yrs)"/>
    <tableColumn id="5" xr3:uid="{00000000-0010-0000-0100-000005000000}" name="Annual Energy (kWh)"/>
    <tableColumn id="6" xr3:uid="{00000000-0010-0000-0100-000006000000}" name="Annual Maintenance"/>
    <tableColumn id="7" xr3:uid="{00000000-0010-0000-0100-000007000000}" name="Expected Repair Cost"/>
    <tableColumn id="8" xr3:uid="{00000000-0010-0000-0100-000008000000}" name="Repair Timing (yr)"/>
    <tableColumn id="9" xr3:uid="{00000000-0010-0000-0100-000009000000}" name="Replacement Cycle (yrs)"/>
    <tableColumn id="10" xr3:uid="{00000000-0010-0000-0100-00000A000000}" name="Residual / Salvage"/>
    <tableColumn id="11" xr3:uid="{00000000-0010-0000-0100-00000B000000}" name="Upfront Cost"/>
    <tableColumn id="12" xr3:uid="{00000000-0010-0000-0100-00000C000000}" name="Total Nominal Cost"/>
    <tableColumn id="13" xr3:uid="{00000000-0010-0000-0100-00000D000000}" name="PV Lifecycle Cost"/>
    <tableColumn id="14" xr3:uid="{00000000-0010-0000-0100-00000E000000}" name="Equivalent Annual Cost"/>
    <tableColumn id="15" xr3:uid="{00000000-0010-0000-0100-00000F000000}" name="Cost per Year of U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activeCell="A19" sqref="A19"/>
    </sheetView>
  </sheetViews>
  <sheetFormatPr defaultRowHeight="14.3" x14ac:dyDescent="0.25"/>
  <cols>
    <col min="1" max="1" width="24" customWidth="1"/>
    <col min="2" max="2" width="26" customWidth="1"/>
    <col min="3" max="3" width="30" customWidth="1"/>
    <col min="4" max="4" width="34" customWidth="1"/>
    <col min="5" max="7" width="18" customWidth="1"/>
  </cols>
  <sheetData>
    <row r="1" spans="1:7" ht="21.1" x14ac:dyDescent="0.25">
      <c r="A1" s="21" t="s">
        <v>0</v>
      </c>
      <c r="B1" s="20"/>
      <c r="C1" s="20"/>
      <c r="D1" s="20"/>
      <c r="E1" s="20"/>
      <c r="F1" s="20"/>
      <c r="G1" s="20"/>
    </row>
    <row r="2" spans="1:7" x14ac:dyDescent="0.25">
      <c r="A2" s="22" t="s">
        <v>1</v>
      </c>
      <c r="B2" s="20"/>
      <c r="C2" s="20"/>
      <c r="D2" s="20"/>
      <c r="E2" s="20"/>
      <c r="F2" s="20"/>
      <c r="G2" s="20"/>
    </row>
    <row r="3" spans="1:7" x14ac:dyDescent="0.25">
      <c r="A3" s="20"/>
      <c r="B3" s="20"/>
      <c r="C3" s="20"/>
      <c r="D3" s="20"/>
      <c r="E3" s="20"/>
      <c r="F3" s="20"/>
      <c r="G3" s="20"/>
    </row>
    <row r="5" spans="1:7" x14ac:dyDescent="0.25">
      <c r="A5" s="1" t="s">
        <v>2</v>
      </c>
      <c r="B5" s="1" t="s">
        <v>3</v>
      </c>
      <c r="C5" s="1" t="s">
        <v>4</v>
      </c>
      <c r="D5" s="1" t="s">
        <v>5</v>
      </c>
    </row>
    <row r="6" spans="1:7" ht="42.8" x14ac:dyDescent="0.25">
      <c r="A6" s="16" t="s">
        <v>164</v>
      </c>
      <c r="B6" s="16" t="s">
        <v>165</v>
      </c>
      <c r="C6" s="16" t="s">
        <v>166</v>
      </c>
      <c r="D6" s="16" t="s">
        <v>167</v>
      </c>
    </row>
    <row r="7" spans="1:7" ht="42.8" x14ac:dyDescent="0.25">
      <c r="A7" s="16" t="s">
        <v>168</v>
      </c>
      <c r="B7" s="16" t="s">
        <v>169</v>
      </c>
      <c r="C7" s="16" t="s">
        <v>170</v>
      </c>
      <c r="D7" s="16" t="s">
        <v>171</v>
      </c>
    </row>
    <row r="8" spans="1:7" ht="42.8" x14ac:dyDescent="0.25">
      <c r="A8" s="16" t="s">
        <v>172</v>
      </c>
      <c r="B8" s="16" t="s">
        <v>173</v>
      </c>
      <c r="C8" s="16" t="s">
        <v>174</v>
      </c>
      <c r="D8" s="16" t="s">
        <v>175</v>
      </c>
    </row>
    <row r="10" spans="1:7" x14ac:dyDescent="0.25">
      <c r="A10" s="5" t="s">
        <v>6</v>
      </c>
    </row>
    <row r="11" spans="1:7" x14ac:dyDescent="0.25">
      <c r="A11" s="19" t="s">
        <v>7</v>
      </c>
      <c r="B11" s="20"/>
      <c r="C11" s="20"/>
      <c r="D11" s="20"/>
      <c r="E11" s="20"/>
      <c r="F11" s="20"/>
      <c r="G11" s="20"/>
    </row>
    <row r="12" spans="1:7" x14ac:dyDescent="0.25">
      <c r="A12" s="20"/>
      <c r="B12" s="20"/>
      <c r="C12" s="20"/>
      <c r="D12" s="20"/>
      <c r="E12" s="20"/>
      <c r="F12" s="20"/>
      <c r="G12" s="20"/>
    </row>
    <row r="13" spans="1:7" x14ac:dyDescent="0.25">
      <c r="A13" s="20"/>
      <c r="B13" s="20"/>
      <c r="C13" s="20"/>
      <c r="D13" s="20"/>
      <c r="E13" s="20"/>
      <c r="F13" s="20"/>
      <c r="G13" s="20"/>
    </row>
  </sheetData>
  <mergeCells count="3">
    <mergeCell ref="A11:G13"/>
    <mergeCell ref="A1:G1"/>
    <mergeCell ref="A2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20"/>
  <sheetViews>
    <sheetView topLeftCell="A4" workbookViewId="0">
      <selection activeCell="B10" sqref="B10"/>
    </sheetView>
  </sheetViews>
  <sheetFormatPr defaultRowHeight="14.3" x14ac:dyDescent="0.25"/>
  <cols>
    <col min="1" max="1" width="33.75" customWidth="1"/>
    <col min="2" max="2" width="31.75" customWidth="1"/>
    <col min="4" max="4" width="39.625" customWidth="1"/>
    <col min="5" max="5" width="18" customWidth="1"/>
    <col min="6" max="13" width="14" customWidth="1"/>
    <col min="15" max="15" width="18" customWidth="1"/>
    <col min="16" max="16" width="14" customWidth="1"/>
    <col min="17" max="17" width="18" customWidth="1"/>
    <col min="18" max="18" width="16" customWidth="1"/>
    <col min="19" max="19" width="43.125" customWidth="1"/>
  </cols>
  <sheetData>
    <row r="1" spans="1:19" ht="21.1" x14ac:dyDescent="0.25">
      <c r="A1" s="21" t="s">
        <v>15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9" x14ac:dyDescent="0.25">
      <c r="A2" s="22" t="s">
        <v>16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9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5" spans="1:19" x14ac:dyDescent="0.25">
      <c r="A5" s="6" t="s">
        <v>8</v>
      </c>
      <c r="D5" s="6" t="s">
        <v>17</v>
      </c>
      <c r="O5" s="6" t="s">
        <v>18</v>
      </c>
    </row>
    <row r="6" spans="1:19" ht="42.8" x14ac:dyDescent="0.25">
      <c r="A6" s="5" t="s">
        <v>19</v>
      </c>
      <c r="B6" s="9">
        <v>83351</v>
      </c>
      <c r="D6" s="5" t="s">
        <v>20</v>
      </c>
      <c r="E6" s="4" t="str">
        <f>IF(E7=MAX(E7:E9),"Debt first",IF(E8=MAX(E7:E9),"Invest extra","Split strategy"))</f>
        <v>Invest extra</v>
      </c>
      <c r="O6" s="1" t="s">
        <v>21</v>
      </c>
      <c r="P6" s="1" t="s">
        <v>22</v>
      </c>
      <c r="Q6" s="1" t="s">
        <v>23</v>
      </c>
      <c r="R6" s="1" t="s">
        <v>24</v>
      </c>
      <c r="S6" s="1" t="s">
        <v>25</v>
      </c>
    </row>
    <row r="7" spans="1:19" x14ac:dyDescent="0.25">
      <c r="A7" s="5" t="s">
        <v>26</v>
      </c>
      <c r="B7" s="17">
        <v>2.1350000000000001E-2</v>
      </c>
      <c r="D7" s="5" t="s">
        <v>27</v>
      </c>
      <c r="E7" s="3">
        <f>IF($B$15*12+1&gt;ROWS($E$24:$E$204),"Beyond model",INDEX($E$24:$E$204,$B$15*12+1))</f>
        <v>64655.853603886622</v>
      </c>
      <c r="O7" s="7" t="s">
        <v>28</v>
      </c>
      <c r="P7" s="12">
        <f>MAX(0,$B$10-$B$13)</f>
        <v>2.7999999999999997E-2</v>
      </c>
      <c r="Q7" s="11">
        <f>IF(P7=0,$B$9*$B$15*12,$B$9*(((1+P7/12)^($B$15*12)-1)/(P7/12)))</f>
        <v>4467.5754395804761</v>
      </c>
      <c r="R7" s="7">
        <f>$B$7</f>
        <v>2.1350000000000001E-2</v>
      </c>
      <c r="S7" s="7" t="s">
        <v>176</v>
      </c>
    </row>
    <row r="8" spans="1:19" x14ac:dyDescent="0.25">
      <c r="A8" s="5" t="s">
        <v>29</v>
      </c>
      <c r="B8" s="9">
        <v>790</v>
      </c>
      <c r="D8" s="5" t="s">
        <v>30</v>
      </c>
      <c r="E8" s="3">
        <f>IF($B$15*12+1&gt;ROWS($I$24:$I$204),"Beyond model",INDEX($I$24:$I$204,$B$15*12+1))</f>
        <v>65592.126391408179</v>
      </c>
      <c r="O8" s="7" t="s">
        <v>12</v>
      </c>
      <c r="P8" s="12">
        <f>MAX(0,$B$11-$B$13)</f>
        <v>6.8000000000000005E-2</v>
      </c>
      <c r="Q8" s="11">
        <f>IF(P8=0,$B$9*$B$15*12,$B$9*(((1+P8/12)^($B$15*12)-1)/(P8/12)))</f>
        <v>6230.1948110598369</v>
      </c>
      <c r="R8" s="7">
        <f>$B$7</f>
        <v>2.1350000000000001E-2</v>
      </c>
      <c r="S8" s="7" t="s">
        <v>177</v>
      </c>
    </row>
    <row r="9" spans="1:19" x14ac:dyDescent="0.25">
      <c r="A9" s="5" t="s">
        <v>31</v>
      </c>
      <c r="B9" s="9">
        <v>20</v>
      </c>
      <c r="D9" s="5" t="s">
        <v>32</v>
      </c>
      <c r="E9" s="3">
        <f>IF($B$15*12+1&gt;ROWS($M$24:$M$204),"Beyond model",INDEX($M$24:$M$204,$B$15*12+1))</f>
        <v>65118.551003319168</v>
      </c>
      <c r="O9" s="7" t="s">
        <v>33</v>
      </c>
      <c r="P9" s="12">
        <f>MAX(0,$B$12-$B$13)</f>
        <v>0.11799999999999999</v>
      </c>
      <c r="Q9" s="11">
        <f>IF(P9=0,$B$9*$B$15*12,$B$9*(((1+P9/12)^($B$15*12)-1)/(P9/12)))</f>
        <v>9804.0275285535936</v>
      </c>
      <c r="R9" s="7">
        <f>$B$7</f>
        <v>2.1350000000000001E-2</v>
      </c>
      <c r="S9" s="7" t="s">
        <v>178</v>
      </c>
    </row>
    <row r="10" spans="1:19" x14ac:dyDescent="0.25">
      <c r="A10" s="5" t="s">
        <v>34</v>
      </c>
      <c r="B10" s="10">
        <v>0.03</v>
      </c>
      <c r="D10" s="5" t="s">
        <v>35</v>
      </c>
      <c r="E10" s="4">
        <f>IF(COUNTIF($B$24:$B$204,0)=0,"Beyond model",MATCH(0,$B$24:$B$204,0)-1)</f>
        <v>114</v>
      </c>
    </row>
    <row r="11" spans="1:19" x14ac:dyDescent="0.25">
      <c r="A11" s="5" t="s">
        <v>36</v>
      </c>
      <c r="B11" s="10">
        <v>7.0000000000000007E-2</v>
      </c>
      <c r="D11" s="5" t="s">
        <v>37</v>
      </c>
      <c r="E11" s="4">
        <f>IF(COUNTIF($F$24:$F$204,0)=0,"Beyond model",MATCH(0,$F$24:$F$204,0)-1)</f>
        <v>117</v>
      </c>
    </row>
    <row r="12" spans="1:19" x14ac:dyDescent="0.25">
      <c r="A12" s="5" t="s">
        <v>38</v>
      </c>
      <c r="B12" s="10">
        <v>0.12</v>
      </c>
      <c r="D12" s="5" t="s">
        <v>39</v>
      </c>
      <c r="E12" s="4">
        <f>IF(COUNTIF($J$24:$J$204,0)=0,"Beyond model",MATCH(0,$J$24:$J$204,0)-1)</f>
        <v>116</v>
      </c>
    </row>
    <row r="13" spans="1:19" x14ac:dyDescent="0.25">
      <c r="A13" s="5" t="s">
        <v>40</v>
      </c>
      <c r="B13" s="10">
        <v>2E-3</v>
      </c>
      <c r="D13" s="5" t="s">
        <v>41</v>
      </c>
      <c r="E13" s="18">
        <f>IF($B$13&gt;=1,"n/a",(1+((1+$B$7)^(1/12)-1)/(1-$B$13))^12-1)</f>
        <v>2.1393201890875124E-2</v>
      </c>
    </row>
    <row r="14" spans="1:19" x14ac:dyDescent="0.25">
      <c r="A14" s="5" t="s">
        <v>42</v>
      </c>
      <c r="B14" s="10">
        <v>0.5</v>
      </c>
    </row>
    <row r="15" spans="1:19" x14ac:dyDescent="0.25">
      <c r="A15" s="5" t="s">
        <v>43</v>
      </c>
      <c r="B15" s="13">
        <v>15</v>
      </c>
      <c r="D15" s="6" t="s">
        <v>9</v>
      </c>
    </row>
    <row r="16" spans="1:19" x14ac:dyDescent="0.25">
      <c r="A16" s="5" t="s">
        <v>44</v>
      </c>
      <c r="B16" s="10">
        <v>0.05</v>
      </c>
      <c r="D16" s="22" t="str">
        <f>IF(E6="Debt first","Debt-first wins on the current assumptions. This is common when debt rates are high or the horizon is short.",IF(E6="Invest extra","Investing the extra cash produces the highest projected net worth under the current return assumption, but returns are uncertain.","The split strategy offers a middle ground between certainty and upside."))</f>
        <v>Investing the extra cash produces the highest projected net worth under the current return assumption, but returns are uncertain.</v>
      </c>
      <c r="E16" s="20"/>
      <c r="F16" s="20"/>
      <c r="G16" s="20"/>
      <c r="H16" s="20"/>
    </row>
    <row r="17" spans="1:13" x14ac:dyDescent="0.25">
      <c r="A17" s="5" t="s">
        <v>45</v>
      </c>
      <c r="B17" s="10" t="s">
        <v>46</v>
      </c>
      <c r="D17" s="20"/>
      <c r="E17" s="20"/>
      <c r="F17" s="20"/>
      <c r="G17" s="20"/>
      <c r="H17" s="20"/>
    </row>
    <row r="18" spans="1:13" x14ac:dyDescent="0.25">
      <c r="A18" s="5" t="s">
        <v>47</v>
      </c>
      <c r="B18" s="12">
        <f>(1+$B$7)^(1/12)-1</f>
        <v>1.7619906190242673E-3</v>
      </c>
      <c r="D18" s="20"/>
      <c r="E18" s="20"/>
      <c r="F18" s="20"/>
      <c r="G18" s="20"/>
      <c r="H18" s="20"/>
    </row>
    <row r="19" spans="1:13" x14ac:dyDescent="0.25">
      <c r="A19" s="5" t="s">
        <v>48</v>
      </c>
      <c r="B19" s="12">
        <f>(1+MAX(0,$B$11-$B$13))^(1/12)-1</f>
        <v>5.4973670825229082E-3</v>
      </c>
    </row>
    <row r="22" spans="1:13" x14ac:dyDescent="0.25">
      <c r="A22" s="6" t="s">
        <v>49</v>
      </c>
    </row>
    <row r="23" spans="1:13" ht="28.55" x14ac:dyDescent="0.25">
      <c r="A23" s="1" t="s">
        <v>50</v>
      </c>
      <c r="B23" s="1" t="s">
        <v>51</v>
      </c>
      <c r="C23" s="1" t="s">
        <v>52</v>
      </c>
      <c r="D23" s="1" t="s">
        <v>53</v>
      </c>
      <c r="E23" s="1" t="s">
        <v>54</v>
      </c>
      <c r="F23" s="1" t="s">
        <v>55</v>
      </c>
      <c r="G23" s="1" t="s">
        <v>56</v>
      </c>
      <c r="H23" s="1" t="s">
        <v>57</v>
      </c>
      <c r="I23" s="1" t="s">
        <v>58</v>
      </c>
      <c r="J23" s="1" t="s">
        <v>59</v>
      </c>
      <c r="K23" s="1" t="s">
        <v>60</v>
      </c>
      <c r="L23" s="1" t="s">
        <v>61</v>
      </c>
      <c r="M23" s="1" t="s">
        <v>62</v>
      </c>
    </row>
    <row r="24" spans="1:13" x14ac:dyDescent="0.25">
      <c r="A24" s="7">
        <f>0</f>
        <v>0</v>
      </c>
      <c r="B24" s="11">
        <f>$B$6</f>
        <v>83351</v>
      </c>
      <c r="C24" s="11">
        <f>0</f>
        <v>0</v>
      </c>
      <c r="D24" s="11">
        <f>0</f>
        <v>0</v>
      </c>
      <c r="E24" s="11">
        <f t="shared" ref="E24:E55" si="0">D24-B24</f>
        <v>-83351</v>
      </c>
      <c r="F24" s="11">
        <f>$B$6</f>
        <v>83351</v>
      </c>
      <c r="G24" s="11">
        <f>0</f>
        <v>0</v>
      </c>
      <c r="H24" s="11">
        <f>0</f>
        <v>0</v>
      </c>
      <c r="I24" s="11">
        <f t="shared" ref="I24:I55" si="1">H24-F24</f>
        <v>-83351</v>
      </c>
      <c r="J24" s="11">
        <f>$B$6</f>
        <v>83351</v>
      </c>
      <c r="K24" s="11">
        <f>0</f>
        <v>0</v>
      </c>
      <c r="L24" s="11">
        <f>0</f>
        <v>0</v>
      </c>
      <c r="M24" s="11">
        <f t="shared" ref="M24:M55" si="2">L24-J24</f>
        <v>-83351</v>
      </c>
    </row>
    <row r="25" spans="1:13" x14ac:dyDescent="0.25">
      <c r="A25" s="7">
        <f t="shared" ref="A25:A56" si="3">A24+1</f>
        <v>1</v>
      </c>
      <c r="B25" s="11">
        <f t="shared" ref="B25:B56" si="4">MAX(0,B24*(1+$B$18)-MIN(B24*(1+$B$18),$B$8+$B$9))</f>
        <v>82687.863680086288</v>
      </c>
      <c r="C25" s="11">
        <f t="shared" ref="C25:C56" si="5">B24*$B$18</f>
        <v>146.86368008629171</v>
      </c>
      <c r="D25" s="11">
        <f t="shared" ref="D25:D56" si="6">D24*(1+$B$19)+MAX(0,($B$8+$B$9)-B24*(1+$B$18))</f>
        <v>0</v>
      </c>
      <c r="E25" s="11">
        <f t="shared" si="0"/>
        <v>-82687.863680086288</v>
      </c>
      <c r="F25" s="11">
        <f t="shared" ref="F25:F56" si="7">MAX(0,F24*(1+$B$18)-MIN(F24*(1+$B$18),$B$8))</f>
        <v>82707.863680086288</v>
      </c>
      <c r="G25" s="11">
        <f t="shared" ref="G25:G56" si="8">F24*$B$18</f>
        <v>146.86368008629171</v>
      </c>
      <c r="H25" s="11">
        <f t="shared" ref="H25:H56" si="9">H24*(1+$B$19)+$B$9+MAX(0,$B$8-F24*(1+$B$18))</f>
        <v>20</v>
      </c>
      <c r="I25" s="11">
        <f t="shared" si="1"/>
        <v>-82687.863680086288</v>
      </c>
      <c r="J25" s="11">
        <f t="shared" ref="J25:J56" si="10">MAX(0,J24*(1+$B$18)-MIN(J24*(1+$B$18),$B$8+$B$9*$B$14))</f>
        <v>82697.863680086288</v>
      </c>
      <c r="K25" s="11">
        <f t="shared" ref="K25:K56" si="11">J24*$B$18</f>
        <v>146.86368008629171</v>
      </c>
      <c r="L25" s="11">
        <f t="shared" ref="L25:L56" si="12">L24*(1+$B$19)+IF(J24=0,$B$8+$B$9,$B$9*(1-$B$14)+MAX(0,($B$8+$B$9*$B$14)-J24*(1+$B$18)))</f>
        <v>10</v>
      </c>
      <c r="M25" s="11">
        <f t="shared" si="2"/>
        <v>-82687.863680086288</v>
      </c>
    </row>
    <row r="26" spans="1:13" x14ac:dyDescent="0.25">
      <c r="A26" s="7">
        <f t="shared" si="3"/>
        <v>2</v>
      </c>
      <c r="B26" s="11">
        <f t="shared" si="4"/>
        <v>82023.558920197756</v>
      </c>
      <c r="C26" s="11">
        <f t="shared" si="5"/>
        <v>145.69524011146947</v>
      </c>
      <c r="D26" s="11">
        <f t="shared" si="6"/>
        <v>0</v>
      </c>
      <c r="E26" s="11">
        <f t="shared" si="0"/>
        <v>-82023.558920197756</v>
      </c>
      <c r="F26" s="11">
        <f t="shared" si="7"/>
        <v>82063.594160010136</v>
      </c>
      <c r="G26" s="11">
        <f t="shared" si="8"/>
        <v>145.73047992384997</v>
      </c>
      <c r="H26" s="11">
        <f t="shared" si="9"/>
        <v>40.109947341650454</v>
      </c>
      <c r="I26" s="11">
        <f t="shared" si="1"/>
        <v>-82023.484212668482</v>
      </c>
      <c r="J26" s="11">
        <f t="shared" si="10"/>
        <v>82043.576540103953</v>
      </c>
      <c r="K26" s="11">
        <f t="shared" si="11"/>
        <v>145.71286001765972</v>
      </c>
      <c r="L26" s="11">
        <f t="shared" si="12"/>
        <v>20.054973670825227</v>
      </c>
      <c r="M26" s="11">
        <f t="shared" si="2"/>
        <v>-82023.521566433134</v>
      </c>
    </row>
    <row r="27" spans="1:13" x14ac:dyDescent="0.25">
      <c r="A27" s="7">
        <f t="shared" si="3"/>
        <v>3</v>
      </c>
      <c r="B27" s="11">
        <f t="shared" si="4"/>
        <v>81358.083661554134</v>
      </c>
      <c r="C27" s="11">
        <f t="shared" si="5"/>
        <v>144.52474135637272</v>
      </c>
      <c r="D27" s="11">
        <f t="shared" si="6"/>
        <v>0</v>
      </c>
      <c r="E27" s="11">
        <f t="shared" si="0"/>
        <v>-81358.083661554134</v>
      </c>
      <c r="F27" s="11">
        <f t="shared" si="7"/>
        <v>81418.189443083495</v>
      </c>
      <c r="G27" s="11">
        <f t="shared" si="8"/>
        <v>144.5952830733525</v>
      </c>
      <c r="H27" s="11">
        <f t="shared" si="9"/>
        <v>60.330446445848168</v>
      </c>
      <c r="I27" s="11">
        <f t="shared" si="1"/>
        <v>-81357.858996637646</v>
      </c>
      <c r="J27" s="11">
        <f t="shared" si="10"/>
        <v>81388.136552318814</v>
      </c>
      <c r="K27" s="11">
        <f t="shared" si="11"/>
        <v>144.56001221486261</v>
      </c>
      <c r="L27" s="11">
        <f t="shared" si="12"/>
        <v>30.165223222924084</v>
      </c>
      <c r="M27" s="11">
        <f t="shared" si="2"/>
        <v>-81357.97132909589</v>
      </c>
    </row>
    <row r="28" spans="1:13" x14ac:dyDescent="0.25">
      <c r="A28" s="7">
        <f t="shared" si="3"/>
        <v>4</v>
      </c>
      <c r="B28" s="11">
        <f t="shared" si="4"/>
        <v>80691.435841747589</v>
      </c>
      <c r="C28" s="11">
        <f t="shared" si="5"/>
        <v>143.3521801934499</v>
      </c>
      <c r="D28" s="11">
        <f t="shared" si="6"/>
        <v>0</v>
      </c>
      <c r="E28" s="11">
        <f t="shared" si="0"/>
        <v>-80691.435841747589</v>
      </c>
      <c r="F28" s="11">
        <f t="shared" si="7"/>
        <v>80771.647529100155</v>
      </c>
      <c r="G28" s="11">
        <f t="shared" si="8"/>
        <v>143.45808601665377</v>
      </c>
      <c r="H28" s="11">
        <f t="shared" si="9"/>
        <v>80.662105056213477</v>
      </c>
      <c r="I28" s="11">
        <f t="shared" si="1"/>
        <v>-80690.985424043945</v>
      </c>
      <c r="J28" s="11">
        <f t="shared" si="10"/>
        <v>80731.541685423872</v>
      </c>
      <c r="K28" s="11">
        <f t="shared" si="11"/>
        <v>143.40513310505182</v>
      </c>
      <c r="L28" s="11">
        <f t="shared" si="12"/>
        <v>40.331052528106738</v>
      </c>
      <c r="M28" s="11">
        <f t="shared" si="2"/>
        <v>-80691.21063289576</v>
      </c>
    </row>
    <row r="29" spans="1:13" x14ac:dyDescent="0.25">
      <c r="A29" s="7">
        <f t="shared" si="3"/>
        <v>5</v>
      </c>
      <c r="B29" s="11">
        <f t="shared" si="4"/>
        <v>80023.613394736341</v>
      </c>
      <c r="C29" s="11">
        <f t="shared" si="5"/>
        <v>142.17755298875778</v>
      </c>
      <c r="D29" s="11">
        <f t="shared" si="6"/>
        <v>0</v>
      </c>
      <c r="E29" s="11">
        <f t="shared" si="0"/>
        <v>-80023.613394736341</v>
      </c>
      <c r="F29" s="11">
        <f t="shared" si="7"/>
        <v>80123.966414329567</v>
      </c>
      <c r="G29" s="11">
        <f t="shared" si="8"/>
        <v>142.31888522940912</v>
      </c>
      <c r="H29" s="11">
        <f t="shared" si="9"/>
        <v>101.10553425735651</v>
      </c>
      <c r="I29" s="11">
        <f t="shared" si="1"/>
        <v>-80022.860880072214</v>
      </c>
      <c r="J29" s="11">
        <f t="shared" si="10"/>
        <v>80073.789904532954</v>
      </c>
      <c r="K29" s="11">
        <f t="shared" si="11"/>
        <v>142.24821910908346</v>
      </c>
      <c r="L29" s="11">
        <f t="shared" si="12"/>
        <v>50.552767128678255</v>
      </c>
      <c r="M29" s="11">
        <f t="shared" si="2"/>
        <v>-80023.23713740427</v>
      </c>
    </row>
    <row r="30" spans="1:13" x14ac:dyDescent="0.25">
      <c r="A30" s="7">
        <f t="shared" si="3"/>
        <v>6</v>
      </c>
      <c r="B30" s="11">
        <f t="shared" si="4"/>
        <v>79354.614250838291</v>
      </c>
      <c r="C30" s="11">
        <f t="shared" si="5"/>
        <v>141.00085610195015</v>
      </c>
      <c r="D30" s="11">
        <f t="shared" si="6"/>
        <v>0</v>
      </c>
      <c r="E30" s="11">
        <f t="shared" si="0"/>
        <v>-79354.614250838291</v>
      </c>
      <c r="F30" s="11">
        <f t="shared" si="7"/>
        <v>79475.144091510636</v>
      </c>
      <c r="G30" s="11">
        <f t="shared" si="8"/>
        <v>141.17767718106415</v>
      </c>
      <c r="H30" s="11">
        <f t="shared" si="9"/>
        <v>121.66134849324379</v>
      </c>
      <c r="I30" s="11">
        <f t="shared" si="1"/>
        <v>-79353.48274301739</v>
      </c>
      <c r="J30" s="11">
        <f t="shared" si="10"/>
        <v>79414.879171174456</v>
      </c>
      <c r="K30" s="11">
        <f t="shared" si="11"/>
        <v>141.08926664150715</v>
      </c>
      <c r="L30" s="11">
        <f t="shared" si="12"/>
        <v>60.830674246621896</v>
      </c>
      <c r="M30" s="11">
        <f t="shared" si="2"/>
        <v>-79354.048496927833</v>
      </c>
    </row>
    <row r="31" spans="1:13" x14ac:dyDescent="0.25">
      <c r="A31" s="7">
        <f t="shared" si="3"/>
        <v>7</v>
      </c>
      <c r="B31" s="11">
        <f t="shared" si="4"/>
        <v>78684.436336724553</v>
      </c>
      <c r="C31" s="11">
        <f t="shared" si="5"/>
        <v>139.82208588626651</v>
      </c>
      <c r="D31" s="11">
        <f t="shared" si="6"/>
        <v>0</v>
      </c>
      <c r="E31" s="11">
        <f t="shared" si="0"/>
        <v>-78684.436336724553</v>
      </c>
      <c r="F31" s="11">
        <f t="shared" si="7"/>
        <v>78825.178549845485</v>
      </c>
      <c r="G31" s="11">
        <f t="shared" si="8"/>
        <v>140.03445833484366</v>
      </c>
      <c r="H31" s="11">
        <f t="shared" si="9"/>
        <v>142.3301655856659</v>
      </c>
      <c r="I31" s="11">
        <f t="shared" si="1"/>
        <v>-78682.848384259822</v>
      </c>
      <c r="J31" s="11">
        <f t="shared" si="10"/>
        <v>78754.807443285012</v>
      </c>
      <c r="K31" s="11">
        <f t="shared" si="11"/>
        <v>139.92827211055507</v>
      </c>
      <c r="L31" s="11">
        <f t="shared" si="12"/>
        <v>71.165082792832948</v>
      </c>
      <c r="M31" s="11">
        <f t="shared" si="2"/>
        <v>-78683.642360492173</v>
      </c>
    </row>
    <row r="32" spans="1:13" x14ac:dyDescent="0.25">
      <c r="A32" s="7">
        <f t="shared" si="3"/>
        <v>8</v>
      </c>
      <c r="B32" s="11">
        <f t="shared" si="4"/>
        <v>78013.077575413074</v>
      </c>
      <c r="C32" s="11">
        <f t="shared" si="5"/>
        <v>138.64123868852084</v>
      </c>
      <c r="D32" s="11">
        <f t="shared" si="6"/>
        <v>0</v>
      </c>
      <c r="E32" s="11">
        <f t="shared" si="0"/>
        <v>-78013.077575413074</v>
      </c>
      <c r="F32" s="11">
        <f t="shared" si="7"/>
        <v>78174.067774993222</v>
      </c>
      <c r="G32" s="11">
        <f t="shared" si="8"/>
        <v>138.88922514774063</v>
      </c>
      <c r="H32" s="11">
        <f t="shared" si="9"/>
        <v>163.11260675280656</v>
      </c>
      <c r="I32" s="11">
        <f t="shared" si="1"/>
        <v>-78010.955168240413</v>
      </c>
      <c r="J32" s="11">
        <f t="shared" si="10"/>
        <v>78093.572675203148</v>
      </c>
      <c r="K32" s="11">
        <f t="shared" si="11"/>
        <v>138.76523191813072</v>
      </c>
      <c r="L32" s="11">
        <f t="shared" si="12"/>
        <v>81.556303376403278</v>
      </c>
      <c r="M32" s="11">
        <f t="shared" si="2"/>
        <v>-78012.016371826743</v>
      </c>
    </row>
    <row r="33" spans="1:13" x14ac:dyDescent="0.25">
      <c r="A33" s="7">
        <f t="shared" si="3"/>
        <v>9</v>
      </c>
      <c r="B33" s="11">
        <f t="shared" si="4"/>
        <v>77340.535886262165</v>
      </c>
      <c r="C33" s="11">
        <f t="shared" si="5"/>
        <v>137.45831084909028</v>
      </c>
      <c r="D33" s="11">
        <f t="shared" si="6"/>
        <v>0</v>
      </c>
      <c r="E33" s="11">
        <f t="shared" si="0"/>
        <v>-77340.535886262165</v>
      </c>
      <c r="F33" s="11">
        <f t="shared" si="7"/>
        <v>77521.80974906373</v>
      </c>
      <c r="G33" s="11">
        <f t="shared" si="8"/>
        <v>137.74197407050534</v>
      </c>
      <c r="H33" s="11">
        <f t="shared" si="9"/>
        <v>184.00929662791393</v>
      </c>
      <c r="I33" s="11">
        <f t="shared" si="1"/>
        <v>-77337.800452435811</v>
      </c>
      <c r="J33" s="11">
        <f t="shared" si="10"/>
        <v>77431.17281766294</v>
      </c>
      <c r="K33" s="11">
        <f t="shared" si="11"/>
        <v>137.60014245979781</v>
      </c>
      <c r="L33" s="11">
        <f t="shared" si="12"/>
        <v>92.004648313956963</v>
      </c>
      <c r="M33" s="11">
        <f t="shared" si="2"/>
        <v>-77339.168169348981</v>
      </c>
    </row>
    <row r="34" spans="1:13" x14ac:dyDescent="0.25">
      <c r="A34" s="7">
        <f t="shared" si="3"/>
        <v>10</v>
      </c>
      <c r="B34" s="11">
        <f t="shared" si="4"/>
        <v>76666.809184964062</v>
      </c>
      <c r="C34" s="11">
        <f t="shared" si="5"/>
        <v>136.27329870190363</v>
      </c>
      <c r="D34" s="11">
        <f t="shared" si="6"/>
        <v>0</v>
      </c>
      <c r="E34" s="11">
        <f t="shared" si="0"/>
        <v>-76666.809184964062</v>
      </c>
      <c r="F34" s="11">
        <f t="shared" si="7"/>
        <v>76868.402450611364</v>
      </c>
      <c r="G34" s="11">
        <f t="shared" si="8"/>
        <v>136.59270154763428</v>
      </c>
      <c r="H34" s="11">
        <f t="shared" si="9"/>
        <v>205.02086327807442</v>
      </c>
      <c r="I34" s="11">
        <f t="shared" si="1"/>
        <v>-76663.381587333293</v>
      </c>
      <c r="J34" s="11">
        <f t="shared" si="10"/>
        <v>76767.605817787713</v>
      </c>
      <c r="K34" s="11">
        <f t="shared" si="11"/>
        <v>136.43300012476894</v>
      </c>
      <c r="L34" s="11">
        <f t="shared" si="12"/>
        <v>102.51043163903721</v>
      </c>
      <c r="M34" s="11">
        <f t="shared" si="2"/>
        <v>-76665.095386148678</v>
      </c>
    </row>
    <row r="35" spans="1:13" x14ac:dyDescent="0.25">
      <c r="A35" s="7">
        <f t="shared" si="3"/>
        <v>11</v>
      </c>
      <c r="B35" s="11">
        <f t="shared" si="4"/>
        <v>75991.895383538489</v>
      </c>
      <c r="C35" s="11">
        <f t="shared" si="5"/>
        <v>135.08619857443023</v>
      </c>
      <c r="D35" s="11">
        <f t="shared" si="6"/>
        <v>0</v>
      </c>
      <c r="E35" s="11">
        <f t="shared" si="0"/>
        <v>-75991.895383538489</v>
      </c>
      <c r="F35" s="11">
        <f t="shared" si="7"/>
        <v>76213.843854628722</v>
      </c>
      <c r="G35" s="11">
        <f t="shared" si="8"/>
        <v>135.44140401735922</v>
      </c>
      <c r="H35" s="11">
        <f t="shared" si="9"/>
        <v>226.14793822308974</v>
      </c>
      <c r="I35" s="11">
        <f t="shared" si="1"/>
        <v>-75987.695916405632</v>
      </c>
      <c r="J35" s="11">
        <f t="shared" si="10"/>
        <v>76102.869619083605</v>
      </c>
      <c r="K35" s="11">
        <f t="shared" si="11"/>
        <v>135.26380129589472</v>
      </c>
      <c r="L35" s="11">
        <f t="shared" si="12"/>
        <v>113.07396911154487</v>
      </c>
      <c r="M35" s="11">
        <f t="shared" si="2"/>
        <v>-75989.79564997206</v>
      </c>
    </row>
    <row r="36" spans="1:13" x14ac:dyDescent="0.25">
      <c r="A36" s="7">
        <f t="shared" si="3"/>
        <v>12</v>
      </c>
      <c r="B36" s="11">
        <f t="shared" si="4"/>
        <v>75315.792390326154</v>
      </c>
      <c r="C36" s="11">
        <f t="shared" si="5"/>
        <v>133.89700678766835</v>
      </c>
      <c r="D36" s="11">
        <f t="shared" si="6"/>
        <v>0</v>
      </c>
      <c r="E36" s="11">
        <f t="shared" si="0"/>
        <v>-75315.792390326154</v>
      </c>
      <c r="F36" s="11">
        <f t="shared" si="7"/>
        <v>75558.13193254036</v>
      </c>
      <c r="G36" s="11">
        <f t="shared" si="8"/>
        <v>134.28807791163612</v>
      </c>
      <c r="H36" s="11">
        <f t="shared" si="9"/>
        <v>247.39115645445779</v>
      </c>
      <c r="I36" s="11">
        <f t="shared" si="1"/>
        <v>-75310.740776085906</v>
      </c>
      <c r="J36" s="11">
        <f t="shared" si="10"/>
        <v>75436.962161433257</v>
      </c>
      <c r="K36" s="11">
        <f t="shared" si="11"/>
        <v>134.09254234965223</v>
      </c>
      <c r="L36" s="11">
        <f t="shared" si="12"/>
        <v>123.69557822722889</v>
      </c>
      <c r="M36" s="11">
        <f t="shared" si="2"/>
        <v>-75313.26658320603</v>
      </c>
    </row>
    <row r="37" spans="1:13" x14ac:dyDescent="0.25">
      <c r="A37" s="7">
        <f t="shared" si="3"/>
        <v>13</v>
      </c>
      <c r="B37" s="11">
        <f t="shared" si="4"/>
        <v>74638.498109982291</v>
      </c>
      <c r="C37" s="11">
        <f t="shared" si="5"/>
        <v>132.70571965613399</v>
      </c>
      <c r="D37" s="11">
        <f t="shared" si="6"/>
        <v>0</v>
      </c>
      <c r="E37" s="11">
        <f t="shared" si="0"/>
        <v>-74638.498109982291</v>
      </c>
      <c r="F37" s="11">
        <f t="shared" si="7"/>
        <v>74901.264652196493</v>
      </c>
      <c r="G37" s="11">
        <f t="shared" si="8"/>
        <v>133.13271965613404</v>
      </c>
      <c r="H37" s="11">
        <f t="shared" si="9"/>
        <v>268.75115645445783</v>
      </c>
      <c r="I37" s="11">
        <f t="shared" si="1"/>
        <v>-74632.513495742038</v>
      </c>
      <c r="J37" s="11">
        <f t="shared" si="10"/>
        <v>74769.881381089392</v>
      </c>
      <c r="K37" s="11">
        <f t="shared" si="11"/>
        <v>132.919219656134</v>
      </c>
      <c r="L37" s="11">
        <f t="shared" si="12"/>
        <v>134.37557822722891</v>
      </c>
      <c r="M37" s="11">
        <f t="shared" si="2"/>
        <v>-74635.505802862157</v>
      </c>
    </row>
    <row r="38" spans="1:13" x14ac:dyDescent="0.25">
      <c r="A38" s="7">
        <f t="shared" si="3"/>
        <v>14</v>
      </c>
      <c r="B38" s="11">
        <f t="shared" si="4"/>
        <v>73960.010443470135</v>
      </c>
      <c r="C38" s="11">
        <f t="shared" si="5"/>
        <v>131.5123334878493</v>
      </c>
      <c r="D38" s="11">
        <f t="shared" si="6"/>
        <v>0</v>
      </c>
      <c r="E38" s="11">
        <f t="shared" si="0"/>
        <v>-73960.010443470135</v>
      </c>
      <c r="F38" s="11">
        <f t="shared" si="7"/>
        <v>74243.239977866717</v>
      </c>
      <c r="G38" s="11">
        <f t="shared" si="8"/>
        <v>131.97532567022418</v>
      </c>
      <c r="H38" s="11">
        <f t="shared" si="9"/>
        <v>290.22858021534051</v>
      </c>
      <c r="I38" s="11">
        <f t="shared" si="1"/>
        <v>-73953.011397651382</v>
      </c>
      <c r="J38" s="11">
        <f t="shared" si="10"/>
        <v>74101.625210668426</v>
      </c>
      <c r="K38" s="11">
        <f t="shared" si="11"/>
        <v>131.74382957903674</v>
      </c>
      <c r="L38" s="11">
        <f t="shared" si="12"/>
        <v>145.11429010767026</v>
      </c>
      <c r="M38" s="11">
        <f t="shared" si="2"/>
        <v>-73956.510920560759</v>
      </c>
    </row>
    <row r="39" spans="1:13" x14ac:dyDescent="0.25">
      <c r="A39" s="7">
        <f t="shared" si="3"/>
        <v>15</v>
      </c>
      <c r="B39" s="11">
        <f t="shared" si="4"/>
        <v>73280.327288054468</v>
      </c>
      <c r="C39" s="11">
        <f t="shared" si="5"/>
        <v>130.31684458433122</v>
      </c>
      <c r="D39" s="11">
        <f t="shared" si="6"/>
        <v>0</v>
      </c>
      <c r="E39" s="11">
        <f t="shared" si="0"/>
        <v>-73280.327288054468</v>
      </c>
      <c r="F39" s="11">
        <f t="shared" si="7"/>
        <v>73584.055870233686</v>
      </c>
      <c r="G39" s="11">
        <f t="shared" si="8"/>
        <v>130.8158923669686</v>
      </c>
      <c r="H39" s="11">
        <f t="shared" si="9"/>
        <v>311.82407325862368</v>
      </c>
      <c r="I39" s="11">
        <f t="shared" si="1"/>
        <v>-73272.231796975058</v>
      </c>
      <c r="J39" s="11">
        <f t="shared" si="10"/>
        <v>73432.19157914407</v>
      </c>
      <c r="K39" s="11">
        <f t="shared" si="11"/>
        <v>130.56636847564991</v>
      </c>
      <c r="L39" s="11">
        <f t="shared" si="12"/>
        <v>155.91203662931184</v>
      </c>
      <c r="M39" s="11">
        <f t="shared" si="2"/>
        <v>-73276.279542514763</v>
      </c>
    </row>
    <row r="40" spans="1:13" x14ac:dyDescent="0.25">
      <c r="A40" s="7">
        <f t="shared" si="3"/>
        <v>16</v>
      </c>
      <c r="B40" s="11">
        <f t="shared" si="4"/>
        <v>72599.446537295051</v>
      </c>
      <c r="C40" s="11">
        <f t="shared" si="5"/>
        <v>129.11924924057999</v>
      </c>
      <c r="D40" s="11">
        <f t="shared" si="6"/>
        <v>0</v>
      </c>
      <c r="E40" s="11">
        <f t="shared" si="0"/>
        <v>-72599.446537295051</v>
      </c>
      <c r="F40" s="11">
        <f t="shared" si="7"/>
        <v>72923.710286386791</v>
      </c>
      <c r="G40" s="11">
        <f t="shared" si="8"/>
        <v>129.65441615310934</v>
      </c>
      <c r="H40" s="11">
        <f t="shared" si="9"/>
        <v>333.53828465449385</v>
      </c>
      <c r="I40" s="11">
        <f t="shared" si="1"/>
        <v>-72590.172001732295</v>
      </c>
      <c r="J40" s="11">
        <f t="shared" si="10"/>
        <v>72761.578411840921</v>
      </c>
      <c r="K40" s="11">
        <f t="shared" si="11"/>
        <v>129.38683269684466</v>
      </c>
      <c r="L40" s="11">
        <f t="shared" si="12"/>
        <v>166.76914232724693</v>
      </c>
      <c r="M40" s="11">
        <f t="shared" si="2"/>
        <v>-72594.809269513673</v>
      </c>
    </row>
    <row r="41" spans="1:13" x14ac:dyDescent="0.25">
      <c r="A41" s="7">
        <f t="shared" si="3"/>
        <v>17</v>
      </c>
      <c r="B41" s="11">
        <f t="shared" si="4"/>
        <v>71917.36608104012</v>
      </c>
      <c r="C41" s="11">
        <f t="shared" si="5"/>
        <v>127.91954374506771</v>
      </c>
      <c r="D41" s="11">
        <f t="shared" si="6"/>
        <v>0</v>
      </c>
      <c r="E41" s="11">
        <f t="shared" si="0"/>
        <v>-71917.36608104012</v>
      </c>
      <c r="F41" s="11">
        <f t="shared" si="7"/>
        <v>72262.201179815849</v>
      </c>
      <c r="G41" s="11">
        <f t="shared" si="8"/>
        <v>128.490893429057</v>
      </c>
      <c r="H41" s="11">
        <f t="shared" si="9"/>
        <v>355.3718670413146</v>
      </c>
      <c r="I41" s="11">
        <f t="shared" si="1"/>
        <v>-71906.829312774527</v>
      </c>
      <c r="J41" s="11">
        <f t="shared" si="10"/>
        <v>72089.783630427977</v>
      </c>
      <c r="K41" s="11">
        <f t="shared" si="11"/>
        <v>128.20521858706235</v>
      </c>
      <c r="L41" s="11">
        <f t="shared" si="12"/>
        <v>177.6859335206573</v>
      </c>
      <c r="M41" s="11">
        <f t="shared" si="2"/>
        <v>-71912.097696907324</v>
      </c>
    </row>
    <row r="42" spans="1:13" x14ac:dyDescent="0.25">
      <c r="A42" s="7">
        <f t="shared" si="3"/>
        <v>18</v>
      </c>
      <c r="B42" s="11">
        <f t="shared" si="4"/>
        <v>71234.083805419839</v>
      </c>
      <c r="C42" s="11">
        <f t="shared" si="5"/>
        <v>126.71772437972673</v>
      </c>
      <c r="D42" s="11">
        <f t="shared" si="6"/>
        <v>0</v>
      </c>
      <c r="E42" s="11">
        <f t="shared" si="0"/>
        <v>-71234.083805419839</v>
      </c>
      <c r="F42" s="11">
        <f t="shared" si="7"/>
        <v>71599.526500404725</v>
      </c>
      <c r="G42" s="11">
        <f t="shared" si="8"/>
        <v>127.32532058887988</v>
      </c>
      <c r="H42" s="11">
        <f t="shared" si="9"/>
        <v>377.32547664524225</v>
      </c>
      <c r="I42" s="11">
        <f t="shared" si="1"/>
        <v>-71222.20102375948</v>
      </c>
      <c r="J42" s="11">
        <f t="shared" si="10"/>
        <v>71416.805152912275</v>
      </c>
      <c r="K42" s="11">
        <f t="shared" si="11"/>
        <v>127.02152248430329</v>
      </c>
      <c r="L42" s="11">
        <f t="shared" si="12"/>
        <v>188.66273832262112</v>
      </c>
      <c r="M42" s="11">
        <f t="shared" si="2"/>
        <v>-71228.14241458966</v>
      </c>
    </row>
    <row r="43" spans="1:13" x14ac:dyDescent="0.25">
      <c r="A43" s="7">
        <f t="shared" si="3"/>
        <v>19</v>
      </c>
      <c r="B43" s="11">
        <f t="shared" si="4"/>
        <v>70549.597592839782</v>
      </c>
      <c r="C43" s="11">
        <f t="shared" si="5"/>
        <v>125.51378741993824</v>
      </c>
      <c r="D43" s="11">
        <f t="shared" si="6"/>
        <v>0</v>
      </c>
      <c r="E43" s="11">
        <f t="shared" si="0"/>
        <v>-70549.597592839782</v>
      </c>
      <c r="F43" s="11">
        <f t="shared" si="7"/>
        <v>70935.684194425019</v>
      </c>
      <c r="G43" s="11">
        <f t="shared" si="8"/>
        <v>126.15769402029255</v>
      </c>
      <c r="H43" s="11">
        <f t="shared" si="9"/>
        <v>399.39977329994906</v>
      </c>
      <c r="I43" s="11">
        <f t="shared" si="1"/>
        <v>-70536.284421125063</v>
      </c>
      <c r="J43" s="11">
        <f t="shared" si="10"/>
        <v>70742.640893632386</v>
      </c>
      <c r="K43" s="11">
        <f t="shared" si="11"/>
        <v>125.83574072011538</v>
      </c>
      <c r="L43" s="11">
        <f t="shared" si="12"/>
        <v>199.69988664997453</v>
      </c>
      <c r="M43" s="11">
        <f t="shared" si="2"/>
        <v>-70542.941006982408</v>
      </c>
    </row>
    <row r="44" spans="1:13" x14ac:dyDescent="0.25">
      <c r="A44" s="7">
        <f t="shared" si="3"/>
        <v>20</v>
      </c>
      <c r="B44" s="11">
        <f t="shared" si="4"/>
        <v>69863.905321974307</v>
      </c>
      <c r="C44" s="11">
        <f t="shared" si="5"/>
        <v>124.30772913452073</v>
      </c>
      <c r="D44" s="11">
        <f t="shared" si="6"/>
        <v>0</v>
      </c>
      <c r="E44" s="11">
        <f t="shared" si="0"/>
        <v>-69863.905321974307</v>
      </c>
      <c r="F44" s="11">
        <f t="shared" si="7"/>
        <v>70270.672204529663</v>
      </c>
      <c r="G44" s="11">
        <f t="shared" si="8"/>
        <v>124.98801010464487</v>
      </c>
      <c r="H44" s="11">
        <f t="shared" si="9"/>
        <v>421.59542046645532</v>
      </c>
      <c r="I44" s="11">
        <f t="shared" si="1"/>
        <v>-69849.076784063203</v>
      </c>
      <c r="J44" s="11">
        <f t="shared" si="10"/>
        <v>70067.288763251971</v>
      </c>
      <c r="K44" s="11">
        <f t="shared" si="11"/>
        <v>124.64786961958278</v>
      </c>
      <c r="L44" s="11">
        <f t="shared" si="12"/>
        <v>210.79771023322766</v>
      </c>
      <c r="M44" s="11">
        <f t="shared" si="2"/>
        <v>-69856.491053018748</v>
      </c>
    </row>
    <row r="45" spans="1:13" x14ac:dyDescent="0.25">
      <c r="A45" s="7">
        <f t="shared" si="3"/>
        <v>21</v>
      </c>
      <c r="B45" s="11">
        <f t="shared" si="4"/>
        <v>69177.004867760028</v>
      </c>
      <c r="C45" s="11">
        <f t="shared" si="5"/>
        <v>123.09954578571832</v>
      </c>
      <c r="D45" s="11">
        <f t="shared" si="6"/>
        <v>0</v>
      </c>
      <c r="E45" s="11">
        <f t="shared" si="0"/>
        <v>-69177.004867760028</v>
      </c>
      <c r="F45" s="11">
        <f t="shared" si="7"/>
        <v>69604.488469746575</v>
      </c>
      <c r="G45" s="11">
        <f t="shared" si="8"/>
        <v>123.81626521691059</v>
      </c>
      <c r="H45" s="11">
        <f t="shared" si="9"/>
        <v>443.91308525306999</v>
      </c>
      <c r="I45" s="11">
        <f t="shared" si="1"/>
        <v>-69160.57538449351</v>
      </c>
      <c r="J45" s="11">
        <f t="shared" si="10"/>
        <v>69390.746668753287</v>
      </c>
      <c r="K45" s="11">
        <f t="shared" si="11"/>
        <v>123.45790550131443</v>
      </c>
      <c r="L45" s="11">
        <f t="shared" si="12"/>
        <v>221.956542626535</v>
      </c>
      <c r="M45" s="11">
        <f t="shared" si="2"/>
        <v>-69168.790126126754</v>
      </c>
    </row>
    <row r="46" spans="1:13" x14ac:dyDescent="0.25">
      <c r="A46" s="7">
        <f t="shared" si="3"/>
        <v>22</v>
      </c>
      <c r="B46" s="11">
        <f t="shared" si="4"/>
        <v>68488.894101389218</v>
      </c>
      <c r="C46" s="11">
        <f t="shared" si="5"/>
        <v>121.88923362918925</v>
      </c>
      <c r="D46" s="11">
        <f t="shared" si="6"/>
        <v>0</v>
      </c>
      <c r="E46" s="11">
        <f t="shared" si="0"/>
        <v>-68488.894101389218</v>
      </c>
      <c r="F46" s="11">
        <f t="shared" si="7"/>
        <v>68937.130925472258</v>
      </c>
      <c r="G46" s="11">
        <f t="shared" si="8"/>
        <v>122.64245572567624</v>
      </c>
      <c r="H46" s="11">
        <f t="shared" si="9"/>
        <v>466.35343843544143</v>
      </c>
      <c r="I46" s="11">
        <f t="shared" si="1"/>
        <v>-68470.777487036816</v>
      </c>
      <c r="J46" s="11">
        <f t="shared" si="10"/>
        <v>68713.012513430716</v>
      </c>
      <c r="K46" s="11">
        <f t="shared" si="11"/>
        <v>122.26584467743272</v>
      </c>
      <c r="L46" s="11">
        <f t="shared" si="12"/>
        <v>233.17671921772072</v>
      </c>
      <c r="M46" s="11">
        <f t="shared" si="2"/>
        <v>-68479.835794212995</v>
      </c>
    </row>
    <row r="47" spans="1:13" x14ac:dyDescent="0.25">
      <c r="A47" s="7">
        <f t="shared" si="3"/>
        <v>23</v>
      </c>
      <c r="B47" s="11">
        <f t="shared" si="4"/>
        <v>67799.570890303206</v>
      </c>
      <c r="C47" s="11">
        <f t="shared" si="5"/>
        <v>120.67678891399429</v>
      </c>
      <c r="D47" s="11">
        <f t="shared" si="6"/>
        <v>0</v>
      </c>
      <c r="E47" s="11">
        <f t="shared" si="0"/>
        <v>-67799.570890303206</v>
      </c>
      <c r="F47" s="11">
        <f t="shared" si="7"/>
        <v>68268.597503465382</v>
      </c>
      <c r="G47" s="11">
        <f t="shared" si="8"/>
        <v>121.46657799312983</v>
      </c>
      <c r="H47" s="11">
        <f t="shared" si="9"/>
        <v>488.91715447671783</v>
      </c>
      <c r="I47" s="11">
        <f t="shared" si="1"/>
        <v>-67779.680348988666</v>
      </c>
      <c r="J47" s="11">
        <f t="shared" si="10"/>
        <v>68034.084196884272</v>
      </c>
      <c r="K47" s="11">
        <f t="shared" si="11"/>
        <v>121.07168345356202</v>
      </c>
      <c r="L47" s="11">
        <f t="shared" si="12"/>
        <v>244.45857723835891</v>
      </c>
      <c r="M47" s="11">
        <f t="shared" si="2"/>
        <v>-67789.625619645914</v>
      </c>
    </row>
    <row r="48" spans="1:13" x14ac:dyDescent="0.25">
      <c r="A48" s="7">
        <f t="shared" si="3"/>
        <v>24</v>
      </c>
      <c r="B48" s="11">
        <f t="shared" si="4"/>
        <v>67109.033098185784</v>
      </c>
      <c r="C48" s="11">
        <f t="shared" si="5"/>
        <v>119.46220788258505</v>
      </c>
      <c r="D48" s="11">
        <f t="shared" si="6"/>
        <v>0</v>
      </c>
      <c r="E48" s="11">
        <f t="shared" si="0"/>
        <v>-67109.033098185784</v>
      </c>
      <c r="F48" s="11">
        <f t="shared" si="7"/>
        <v>67598.886131840438</v>
      </c>
      <c r="G48" s="11">
        <f t="shared" si="8"/>
        <v>120.28862837504953</v>
      </c>
      <c r="H48" s="11">
        <f t="shared" si="9"/>
        <v>511.60491154781892</v>
      </c>
      <c r="I48" s="11">
        <f t="shared" si="1"/>
        <v>-67087.281220292614</v>
      </c>
      <c r="J48" s="11">
        <f t="shared" si="10"/>
        <v>67353.959615013096</v>
      </c>
      <c r="K48" s="11">
        <f t="shared" si="11"/>
        <v>119.87541812881724</v>
      </c>
      <c r="L48" s="11">
        <f t="shared" si="12"/>
        <v>255.80245577390946</v>
      </c>
      <c r="M48" s="11">
        <f t="shared" si="2"/>
        <v>-67098.157159239185</v>
      </c>
    </row>
    <row r="49" spans="1:13" x14ac:dyDescent="0.25">
      <c r="A49" s="7">
        <f t="shared" si="3"/>
        <v>25</v>
      </c>
      <c r="B49" s="11">
        <f t="shared" si="4"/>
        <v>66417.27858495657</v>
      </c>
      <c r="C49" s="11">
        <f t="shared" si="5"/>
        <v>118.24548677079241</v>
      </c>
      <c r="D49" s="11">
        <f t="shared" si="6"/>
        <v>0</v>
      </c>
      <c r="E49" s="11">
        <f t="shared" si="0"/>
        <v>-66417.27858495657</v>
      </c>
      <c r="F49" s="11">
        <f t="shared" si="7"/>
        <v>66927.994735061235</v>
      </c>
      <c r="G49" s="11">
        <f t="shared" si="8"/>
        <v>119.10860322079249</v>
      </c>
      <c r="H49" s="11">
        <f t="shared" si="9"/>
        <v>534.41739154781897</v>
      </c>
      <c r="I49" s="11">
        <f t="shared" si="1"/>
        <v>-66393.577343513418</v>
      </c>
      <c r="J49" s="11">
        <f t="shared" si="10"/>
        <v>66672.636660008895</v>
      </c>
      <c r="K49" s="11">
        <f t="shared" si="11"/>
        <v>118.67704499579243</v>
      </c>
      <c r="L49" s="11">
        <f t="shared" si="12"/>
        <v>267.20869577390948</v>
      </c>
      <c r="M49" s="11">
        <f t="shared" si="2"/>
        <v>-66405.427964234987</v>
      </c>
    </row>
    <row r="50" spans="1:13" x14ac:dyDescent="0.25">
      <c r="A50" s="7">
        <f t="shared" si="3"/>
        <v>26</v>
      </c>
      <c r="B50" s="11">
        <f t="shared" si="4"/>
        <v>65724.305206764388</v>
      </c>
      <c r="C50" s="11">
        <f t="shared" si="5"/>
        <v>117.02662180781485</v>
      </c>
      <c r="D50" s="11">
        <f t="shared" si="6"/>
        <v>0</v>
      </c>
      <c r="E50" s="11">
        <f t="shared" si="0"/>
        <v>-65724.305206764388</v>
      </c>
      <c r="F50" s="11">
        <f t="shared" si="7"/>
        <v>66255.921233934525</v>
      </c>
      <c r="G50" s="11">
        <f t="shared" si="8"/>
        <v>117.92649887328345</v>
      </c>
      <c r="H50" s="11">
        <f t="shared" si="9"/>
        <v>557.35528012444172</v>
      </c>
      <c r="I50" s="11">
        <f t="shared" si="1"/>
        <v>-65698.565953810088</v>
      </c>
      <c r="J50" s="11">
        <f t="shared" si="10"/>
        <v>65990.113220349449</v>
      </c>
      <c r="K50" s="11">
        <f t="shared" si="11"/>
        <v>117.47656034054913</v>
      </c>
      <c r="L50" s="11">
        <f t="shared" si="12"/>
        <v>278.67764006222086</v>
      </c>
      <c r="M50" s="11">
        <f t="shared" si="2"/>
        <v>-65711.435580287231</v>
      </c>
    </row>
    <row r="51" spans="1:13" x14ac:dyDescent="0.25">
      <c r="A51" s="7">
        <f t="shared" si="3"/>
        <v>27</v>
      </c>
      <c r="B51" s="11">
        <f t="shared" si="4"/>
        <v>65030.110815980588</v>
      </c>
      <c r="C51" s="11">
        <f t="shared" si="5"/>
        <v>115.80560921620666</v>
      </c>
      <c r="D51" s="11">
        <f t="shared" si="6"/>
        <v>0</v>
      </c>
      <c r="E51" s="11">
        <f t="shared" si="0"/>
        <v>-65030.110815980588</v>
      </c>
      <c r="F51" s="11">
        <f t="shared" si="7"/>
        <v>65582.663545603529</v>
      </c>
      <c r="G51" s="11">
        <f t="shared" si="8"/>
        <v>116.7423116690034</v>
      </c>
      <c r="H51" s="11">
        <f t="shared" si="9"/>
        <v>580.41926669466818</v>
      </c>
      <c r="I51" s="11">
        <f t="shared" si="1"/>
        <v>-65002.24427890886</v>
      </c>
      <c r="J51" s="11">
        <f t="shared" si="10"/>
        <v>65306.387180792051</v>
      </c>
      <c r="K51" s="11">
        <f t="shared" si="11"/>
        <v>116.27396044260502</v>
      </c>
      <c r="L51" s="11">
        <f t="shared" si="12"/>
        <v>290.20963334733409</v>
      </c>
      <c r="M51" s="11">
        <f t="shared" si="2"/>
        <v>-65016.17754744472</v>
      </c>
    </row>
    <row r="52" spans="1:13" x14ac:dyDescent="0.25">
      <c r="A52" s="7">
        <f t="shared" si="3"/>
        <v>28</v>
      </c>
      <c r="B52" s="11">
        <f t="shared" si="4"/>
        <v>64334.693261192457</v>
      </c>
      <c r="C52" s="11">
        <f t="shared" si="5"/>
        <v>114.58244521186634</v>
      </c>
      <c r="D52" s="11">
        <f t="shared" si="6"/>
        <v>0</v>
      </c>
      <c r="E52" s="11">
        <f t="shared" si="0"/>
        <v>-64334.693261192457</v>
      </c>
      <c r="F52" s="11">
        <f t="shared" si="7"/>
        <v>64908.219583541504</v>
      </c>
      <c r="G52" s="11">
        <f t="shared" si="8"/>
        <v>115.55603793797822</v>
      </c>
      <c r="H52" s="11">
        <f t="shared" si="9"/>
        <v>603.61004446545758</v>
      </c>
      <c r="I52" s="11">
        <f t="shared" si="1"/>
        <v>-64304.609539076046</v>
      </c>
      <c r="J52" s="11">
        <f t="shared" si="10"/>
        <v>64621.456422366973</v>
      </c>
      <c r="K52" s="11">
        <f t="shared" si="11"/>
        <v>115.06924157492226</v>
      </c>
      <c r="L52" s="11">
        <f t="shared" si="12"/>
        <v>301.80502223272879</v>
      </c>
      <c r="M52" s="11">
        <f t="shared" si="2"/>
        <v>-64319.651400134244</v>
      </c>
    </row>
    <row r="53" spans="1:13" x14ac:dyDescent="0.25">
      <c r="A53" s="7">
        <f t="shared" si="3"/>
        <v>29</v>
      </c>
      <c r="B53" s="11">
        <f t="shared" si="4"/>
        <v>63638.050387196483</v>
      </c>
      <c r="C53" s="11">
        <f t="shared" si="5"/>
        <v>113.35712600402486</v>
      </c>
      <c r="D53" s="11">
        <f t="shared" si="6"/>
        <v>0</v>
      </c>
      <c r="E53" s="11">
        <f t="shared" si="0"/>
        <v>-63638.050387196483</v>
      </c>
      <c r="F53" s="11">
        <f t="shared" si="7"/>
        <v>64232.587257545274</v>
      </c>
      <c r="G53" s="11">
        <f t="shared" si="8"/>
        <v>114.36767400376736</v>
      </c>
      <c r="H53" s="11">
        <f t="shared" si="9"/>
        <v>626.92831045458217</v>
      </c>
      <c r="I53" s="11">
        <f t="shared" si="1"/>
        <v>-63605.658947090691</v>
      </c>
      <c r="J53" s="11">
        <f t="shared" si="10"/>
        <v>63935.318822370871</v>
      </c>
      <c r="K53" s="11">
        <f t="shared" si="11"/>
        <v>113.8624000038961</v>
      </c>
      <c r="L53" s="11">
        <f t="shared" si="12"/>
        <v>313.46415522729109</v>
      </c>
      <c r="M53" s="11">
        <f t="shared" si="2"/>
        <v>-63621.854667143583</v>
      </c>
    </row>
    <row r="54" spans="1:13" x14ac:dyDescent="0.25">
      <c r="A54" s="7">
        <f t="shared" si="3"/>
        <v>30</v>
      </c>
      <c r="B54" s="11">
        <f t="shared" si="4"/>
        <v>62940.180034991718</v>
      </c>
      <c r="C54" s="11">
        <f t="shared" si="5"/>
        <v>112.12964779523385</v>
      </c>
      <c r="D54" s="11">
        <f t="shared" si="6"/>
        <v>0</v>
      </c>
      <c r="E54" s="11">
        <f t="shared" si="0"/>
        <v>-62940.180034991718</v>
      </c>
      <c r="F54" s="11">
        <f t="shared" si="7"/>
        <v>63555.764473728726</v>
      </c>
      <c r="G54" s="11">
        <f t="shared" si="8"/>
        <v>113.17721618345246</v>
      </c>
      <c r="H54" s="11">
        <f t="shared" si="9"/>
        <v>650.37476551157692</v>
      </c>
      <c r="I54" s="11">
        <f t="shared" si="1"/>
        <v>-62905.389708217146</v>
      </c>
      <c r="J54" s="11">
        <f t="shared" si="10"/>
        <v>63247.972254360211</v>
      </c>
      <c r="K54" s="11">
        <f t="shared" si="11"/>
        <v>112.65343198934315</v>
      </c>
      <c r="L54" s="11">
        <f t="shared" si="12"/>
        <v>325.18738275578846</v>
      </c>
      <c r="M54" s="11">
        <f t="shared" si="2"/>
        <v>-62922.784871604425</v>
      </c>
    </row>
    <row r="55" spans="1:13" x14ac:dyDescent="0.25">
      <c r="A55" s="7">
        <f t="shared" si="3"/>
        <v>31</v>
      </c>
      <c r="B55" s="11">
        <f t="shared" si="4"/>
        <v>62241.080041773072</v>
      </c>
      <c r="C55" s="11">
        <f t="shared" si="5"/>
        <v>110.90000678135389</v>
      </c>
      <c r="D55" s="11">
        <f t="shared" si="6"/>
        <v>0</v>
      </c>
      <c r="E55" s="11">
        <f t="shared" si="0"/>
        <v>-62241.080041773072</v>
      </c>
      <c r="F55" s="11">
        <f t="shared" si="7"/>
        <v>62877.749134516351</v>
      </c>
      <c r="G55" s="11">
        <f t="shared" si="8"/>
        <v>111.98466078762581</v>
      </c>
      <c r="H55" s="11">
        <f t="shared" si="9"/>
        <v>673.95011433880381</v>
      </c>
      <c r="I55" s="11">
        <f t="shared" si="1"/>
        <v>-62203.799020177546</v>
      </c>
      <c r="J55" s="11">
        <f t="shared" si="10"/>
        <v>62559.414588144704</v>
      </c>
      <c r="K55" s="11">
        <f t="shared" si="11"/>
        <v>111.44233378448983</v>
      </c>
      <c r="L55" s="11">
        <f t="shared" si="12"/>
        <v>336.97505716940191</v>
      </c>
      <c r="M55" s="11">
        <f t="shared" si="2"/>
        <v>-62222.439530975302</v>
      </c>
    </row>
    <row r="56" spans="1:13" x14ac:dyDescent="0.25">
      <c r="A56" s="7">
        <f t="shared" si="3"/>
        <v>32</v>
      </c>
      <c r="B56" s="11">
        <f t="shared" si="4"/>
        <v>61540.748240924615</v>
      </c>
      <c r="C56" s="11">
        <f t="shared" si="5"/>
        <v>109.66819915154271</v>
      </c>
      <c r="D56" s="11">
        <f t="shared" si="6"/>
        <v>0</v>
      </c>
      <c r="E56" s="11">
        <f t="shared" ref="E56:E87" si="13">D56-B56</f>
        <v>-61540.748240924615</v>
      </c>
      <c r="F56" s="11">
        <f t="shared" si="7"/>
        <v>62198.539138636726</v>
      </c>
      <c r="G56" s="11">
        <f t="shared" si="8"/>
        <v>110.79000412037905</v>
      </c>
      <c r="H56" s="11">
        <f t="shared" si="9"/>
        <v>697.65506551263252</v>
      </c>
      <c r="I56" s="11">
        <f t="shared" ref="I56:I87" si="14">H56-F56</f>
        <v>-61500.884073124093</v>
      </c>
      <c r="J56" s="11">
        <f t="shared" si="10"/>
        <v>61869.643689780663</v>
      </c>
      <c r="K56" s="11">
        <f t="shared" si="11"/>
        <v>110.22910163596087</v>
      </c>
      <c r="L56" s="11">
        <f t="shared" si="12"/>
        <v>348.82753275631626</v>
      </c>
      <c r="M56" s="11">
        <f t="shared" ref="M56:M87" si="15">L56-J56</f>
        <v>-61520.816157024346</v>
      </c>
    </row>
    <row r="57" spans="1:13" x14ac:dyDescent="0.25">
      <c r="A57" s="7">
        <f t="shared" ref="A57:A88" si="16">A56+1</f>
        <v>33</v>
      </c>
      <c r="B57" s="11">
        <f t="shared" ref="B57:B88" si="17">MAX(0,B56*(1+$B$18)-MIN(B56*(1+$B$18),$B$8+$B$9))</f>
        <v>60839.182462012861</v>
      </c>
      <c r="C57" s="11">
        <f t="shared" ref="C57:C88" si="18">B56*$B$18</f>
        <v>108.43422108824335</v>
      </c>
      <c r="D57" s="11">
        <f t="shared" ref="D57:D88" si="19">D56*(1+$B$19)+MAX(0,($B$8+$B$9)-B56*(1+$B$18))</f>
        <v>0</v>
      </c>
      <c r="E57" s="11">
        <f t="shared" si="13"/>
        <v>-60839.182462012861</v>
      </c>
      <c r="F57" s="11">
        <f t="shared" ref="F57:F88" si="20">MAX(0,F56*(1+$B$18)-MIN(F56*(1+$B$18),$B$8))</f>
        <v>61518.132381116018</v>
      </c>
      <c r="G57" s="11">
        <f t="shared" ref="G57:G88" si="21">F56*$B$18</f>
        <v>109.59324247929165</v>
      </c>
      <c r="H57" s="11">
        <f t="shared" ref="H57:H88" si="22">H56*(1+$B$19)+$B$9+MAX(0,$B$8-F56*(1+$B$18))</f>
        <v>721.49033150473701</v>
      </c>
      <c r="I57" s="11">
        <f t="shared" si="14"/>
        <v>-60796.642049611284</v>
      </c>
      <c r="J57" s="11">
        <f t="shared" ref="J57:J88" si="23">MAX(0,J56*(1+$B$18)-MIN(J56*(1+$B$18),$B$8+$B$9*$B$14))</f>
        <v>61178.657421564429</v>
      </c>
      <c r="K57" s="11">
        <f t="shared" ref="K57:K88" si="24">J56*$B$18</f>
        <v>109.01373178376748</v>
      </c>
      <c r="L57" s="11">
        <f t="shared" ref="L57:L88" si="25">L56*(1+$B$19)+IF(J56=0,$B$8+$B$9,$B$9*(1-$B$14)+MAX(0,($B$8+$B$9*$B$14)-J56*(1+$B$18)))</f>
        <v>360.74516575236851</v>
      </c>
      <c r="M57" s="11">
        <f t="shared" si="15"/>
        <v>-60817.912255812058</v>
      </c>
    </row>
    <row r="58" spans="1:13" x14ac:dyDescent="0.25">
      <c r="A58" s="7">
        <f t="shared" si="16"/>
        <v>34</v>
      </c>
      <c r="B58" s="11">
        <f t="shared" si="17"/>
        <v>60136.380530780036</v>
      </c>
      <c r="C58" s="11">
        <f t="shared" si="18"/>
        <v>107.19806876717239</v>
      </c>
      <c r="D58" s="11">
        <f t="shared" si="19"/>
        <v>0</v>
      </c>
      <c r="E58" s="11">
        <f t="shared" si="13"/>
        <v>-60136.380530780036</v>
      </c>
      <c r="F58" s="11">
        <f t="shared" si="20"/>
        <v>60836.526753271435</v>
      </c>
      <c r="G58" s="11">
        <f t="shared" si="21"/>
        <v>108.39437215541943</v>
      </c>
      <c r="H58" s="11">
        <f t="shared" si="22"/>
        <v>745.45662870350975</v>
      </c>
      <c r="I58" s="11">
        <f t="shared" si="14"/>
        <v>-60091.070124567923</v>
      </c>
      <c r="J58" s="11">
        <f t="shared" si="23"/>
        <v>60486.453642025728</v>
      </c>
      <c r="K58" s="11">
        <f t="shared" si="24"/>
        <v>107.79622046129589</v>
      </c>
      <c r="L58" s="11">
        <f t="shared" si="25"/>
        <v>372.72831435175488</v>
      </c>
      <c r="M58" s="11">
        <f t="shared" si="15"/>
        <v>-60113.725327673972</v>
      </c>
    </row>
    <row r="59" spans="1:13" x14ac:dyDescent="0.25">
      <c r="A59" s="7">
        <f t="shared" si="16"/>
        <v>35</v>
      </c>
      <c r="B59" s="11">
        <f t="shared" si="17"/>
        <v>59432.340269137341</v>
      </c>
      <c r="C59" s="11">
        <f t="shared" si="18"/>
        <v>105.95973835730801</v>
      </c>
      <c r="D59" s="11">
        <f t="shared" si="19"/>
        <v>0</v>
      </c>
      <c r="E59" s="11">
        <f t="shared" si="13"/>
        <v>-59432.340269137341</v>
      </c>
      <c r="F59" s="11">
        <f t="shared" si="20"/>
        <v>60153.720142704718</v>
      </c>
      <c r="G59" s="11">
        <f t="shared" si="21"/>
        <v>107.19338943328314</v>
      </c>
      <c r="H59" s="11">
        <f t="shared" si="22"/>
        <v>769.55467743559291</v>
      </c>
      <c r="I59" s="11">
        <f t="shared" si="14"/>
        <v>-59384.165465269129</v>
      </c>
      <c r="J59" s="11">
        <f t="shared" si="23"/>
        <v>59793.030205921023</v>
      </c>
      <c r="K59" s="11">
        <f t="shared" si="24"/>
        <v>106.57656389529556</v>
      </c>
      <c r="L59" s="11">
        <f t="shared" si="25"/>
        <v>384.77733871779645</v>
      </c>
      <c r="M59" s="11">
        <f t="shared" si="15"/>
        <v>-59408.252867203228</v>
      </c>
    </row>
    <row r="60" spans="1:13" x14ac:dyDescent="0.25">
      <c r="A60" s="7">
        <f t="shared" si="16"/>
        <v>36</v>
      </c>
      <c r="B60" s="11">
        <f t="shared" si="17"/>
        <v>58727.059495158217</v>
      </c>
      <c r="C60" s="11">
        <f t="shared" si="18"/>
        <v>104.7192260208782</v>
      </c>
      <c r="D60" s="11">
        <f t="shared" si="19"/>
        <v>0</v>
      </c>
      <c r="E60" s="11">
        <f t="shared" si="13"/>
        <v>-58727.059495158217</v>
      </c>
      <c r="F60" s="11">
        <f t="shared" si="20"/>
        <v>59469.710433295579</v>
      </c>
      <c r="G60" s="11">
        <f t="shared" si="21"/>
        <v>105.99029059085683</v>
      </c>
      <c r="H60" s="11">
        <f t="shared" si="22"/>
        <v>793.78520198752892</v>
      </c>
      <c r="I60" s="11">
        <f t="shared" si="14"/>
        <v>-58675.925231308051</v>
      </c>
      <c r="J60" s="11">
        <f t="shared" si="23"/>
        <v>59098.384964226891</v>
      </c>
      <c r="K60" s="11">
        <f t="shared" si="24"/>
        <v>105.35475830586749</v>
      </c>
      <c r="L60" s="11">
        <f t="shared" si="25"/>
        <v>396.89260099376446</v>
      </c>
      <c r="M60" s="11">
        <f t="shared" si="15"/>
        <v>-58701.492363233127</v>
      </c>
    </row>
    <row r="61" spans="1:13" x14ac:dyDescent="0.25">
      <c r="A61" s="7">
        <f t="shared" si="16"/>
        <v>37</v>
      </c>
      <c r="B61" s="11">
        <f t="shared" si="17"/>
        <v>58020.536023071567</v>
      </c>
      <c r="C61" s="11">
        <f t="shared" si="18"/>
        <v>103.4765279133488</v>
      </c>
      <c r="D61" s="11">
        <f t="shared" si="19"/>
        <v>0</v>
      </c>
      <c r="E61" s="11">
        <f t="shared" si="13"/>
        <v>-58020.536023071567</v>
      </c>
      <c r="F61" s="11">
        <f t="shared" si="20"/>
        <v>58784.495505195133</v>
      </c>
      <c r="G61" s="11">
        <f t="shared" si="21"/>
        <v>104.78507189955641</v>
      </c>
      <c r="H61" s="11">
        <f t="shared" si="22"/>
        <v>818.14893062752901</v>
      </c>
      <c r="I61" s="11">
        <f t="shared" si="14"/>
        <v>-57966.3465745676</v>
      </c>
      <c r="J61" s="11">
        <f t="shared" si="23"/>
        <v>58402.515764133343</v>
      </c>
      <c r="K61" s="11">
        <f t="shared" si="24"/>
        <v>104.13079990645259</v>
      </c>
      <c r="L61" s="11">
        <f t="shared" si="25"/>
        <v>409.07446531376451</v>
      </c>
      <c r="M61" s="11">
        <f t="shared" si="15"/>
        <v>-57993.441298819576</v>
      </c>
    </row>
    <row r="62" spans="1:13" x14ac:dyDescent="0.25">
      <c r="A62" s="7">
        <f t="shared" si="16"/>
        <v>38</v>
      </c>
      <c r="B62" s="11">
        <f t="shared" si="17"/>
        <v>57312.767663254977</v>
      </c>
      <c r="C62" s="11">
        <f t="shared" si="18"/>
        <v>102.23164018341167</v>
      </c>
      <c r="D62" s="11">
        <f t="shared" si="19"/>
        <v>0</v>
      </c>
      <c r="E62" s="11">
        <f t="shared" si="13"/>
        <v>-57312.767663254977</v>
      </c>
      <c r="F62" s="11">
        <f t="shared" si="20"/>
        <v>58098.073234819363</v>
      </c>
      <c r="G62" s="11">
        <f t="shared" si="21"/>
        <v>103.57772962422803</v>
      </c>
      <c r="H62" s="11">
        <f t="shared" si="22"/>
        <v>842.6465956273621</v>
      </c>
      <c r="I62" s="11">
        <f t="shared" si="14"/>
        <v>-57255.426639192003</v>
      </c>
      <c r="J62" s="11">
        <f t="shared" si="23"/>
        <v>57705.420449037163</v>
      </c>
      <c r="K62" s="11">
        <f t="shared" si="24"/>
        <v>102.90468490381984</v>
      </c>
      <c r="L62" s="11">
        <f t="shared" si="25"/>
        <v>421.32329781368105</v>
      </c>
      <c r="M62" s="11">
        <f t="shared" si="15"/>
        <v>-57284.097151223483</v>
      </c>
    </row>
    <row r="63" spans="1:13" x14ac:dyDescent="0.25">
      <c r="A63" s="7">
        <f t="shared" si="16"/>
        <v>39</v>
      </c>
      <c r="B63" s="11">
        <f t="shared" si="17"/>
        <v>56603.752222227951</v>
      </c>
      <c r="C63" s="11">
        <f t="shared" si="18"/>
        <v>100.98455897297265</v>
      </c>
      <c r="D63" s="11">
        <f t="shared" si="19"/>
        <v>0</v>
      </c>
      <c r="E63" s="11">
        <f t="shared" si="13"/>
        <v>-56603.752222227951</v>
      </c>
      <c r="F63" s="11">
        <f t="shared" si="20"/>
        <v>57410.441494842496</v>
      </c>
      <c r="G63" s="11">
        <f t="shared" si="21"/>
        <v>102.36826002313659</v>
      </c>
      <c r="H63" s="11">
        <f t="shared" si="22"/>
        <v>867.27893328436392</v>
      </c>
      <c r="I63" s="11">
        <f t="shared" si="14"/>
        <v>-56543.162561558136</v>
      </c>
      <c r="J63" s="11">
        <f t="shared" si="23"/>
        <v>57007.096858535217</v>
      </c>
      <c r="K63" s="11">
        <f t="shared" si="24"/>
        <v>101.67640949805461</v>
      </c>
      <c r="L63" s="11">
        <f t="shared" si="25"/>
        <v>433.63946664218196</v>
      </c>
      <c r="M63" s="11">
        <f t="shared" si="15"/>
        <v>-56573.457391893033</v>
      </c>
    </row>
    <row r="64" spans="1:13" x14ac:dyDescent="0.25">
      <c r="A64" s="7">
        <f t="shared" si="16"/>
        <v>40</v>
      </c>
      <c r="B64" s="11">
        <f t="shared" si="17"/>
        <v>55893.48750264509</v>
      </c>
      <c r="C64" s="11">
        <f t="shared" si="18"/>
        <v>99.735280417139677</v>
      </c>
      <c r="D64" s="11">
        <f t="shared" si="19"/>
        <v>0</v>
      </c>
      <c r="E64" s="11">
        <f t="shared" si="13"/>
        <v>-55893.48750264509</v>
      </c>
      <c r="F64" s="11">
        <f t="shared" si="20"/>
        <v>56721.598154190448</v>
      </c>
      <c r="G64" s="11">
        <f t="shared" si="21"/>
        <v>101.15665934795402</v>
      </c>
      <c r="H64" s="11">
        <f t="shared" si="22"/>
        <v>892.0466839435669</v>
      </c>
      <c r="I64" s="11">
        <f t="shared" si="14"/>
        <v>-55829.551470246879</v>
      </c>
      <c r="J64" s="11">
        <f t="shared" si="23"/>
        <v>56307.542828417761</v>
      </c>
      <c r="K64" s="11">
        <f t="shared" si="24"/>
        <v>100.44596988254683</v>
      </c>
      <c r="L64" s="11">
        <f t="shared" si="25"/>
        <v>446.02334197178345</v>
      </c>
      <c r="M64" s="11">
        <f t="shared" si="15"/>
        <v>-55861.519486445977</v>
      </c>
    </row>
    <row r="65" spans="1:13" x14ac:dyDescent="0.25">
      <c r="A65" s="7">
        <f t="shared" si="16"/>
        <v>41</v>
      </c>
      <c r="B65" s="11">
        <f t="shared" si="17"/>
        <v>55181.971303289298</v>
      </c>
      <c r="C65" s="11">
        <f t="shared" si="18"/>
        <v>98.483800644210774</v>
      </c>
      <c r="D65" s="11">
        <f t="shared" si="19"/>
        <v>0</v>
      </c>
      <c r="E65" s="11">
        <f t="shared" si="13"/>
        <v>-55181.971303289298</v>
      </c>
      <c r="F65" s="11">
        <f t="shared" si="20"/>
        <v>56031.541078034192</v>
      </c>
      <c r="G65" s="11">
        <f t="shared" si="21"/>
        <v>99.942923843747764</v>
      </c>
      <c r="H65" s="11">
        <f t="shared" si="22"/>
        <v>916.95059201995196</v>
      </c>
      <c r="I65" s="11">
        <f t="shared" si="14"/>
        <v>-55114.59048601424</v>
      </c>
      <c r="J65" s="11">
        <f t="shared" si="23"/>
        <v>55606.756190661741</v>
      </c>
      <c r="K65" s="11">
        <f t="shared" si="24"/>
        <v>99.213362243979262</v>
      </c>
      <c r="L65" s="11">
        <f t="shared" si="25"/>
        <v>458.47529600997598</v>
      </c>
      <c r="M65" s="11">
        <f t="shared" si="15"/>
        <v>-55148.280894651762</v>
      </c>
    </row>
    <row r="66" spans="1:13" x14ac:dyDescent="0.25">
      <c r="A66" s="7">
        <f t="shared" si="16"/>
        <v>42</v>
      </c>
      <c r="B66" s="11">
        <f t="shared" si="17"/>
        <v>54469.201419064957</v>
      </c>
      <c r="C66" s="11">
        <f t="shared" si="18"/>
        <v>97.230115775662071</v>
      </c>
      <c r="D66" s="11">
        <f t="shared" si="19"/>
        <v>0</v>
      </c>
      <c r="E66" s="11">
        <f t="shared" si="13"/>
        <v>-54469.201419064957</v>
      </c>
      <c r="F66" s="11">
        <f t="shared" si="20"/>
        <v>55340.268127783158</v>
      </c>
      <c r="G66" s="11">
        <f t="shared" si="21"/>
        <v>98.727049748969137</v>
      </c>
      <c r="H66" s="11">
        <f t="shared" si="22"/>
        <v>941.9914060208223</v>
      </c>
      <c r="I66" s="11">
        <f t="shared" si="14"/>
        <v>-54398.276721762333</v>
      </c>
      <c r="J66" s="11">
        <f t="shared" si="23"/>
        <v>54904.734773424054</v>
      </c>
      <c r="K66" s="11">
        <f t="shared" si="24"/>
        <v>97.978582762315597</v>
      </c>
      <c r="L66" s="11">
        <f t="shared" si="25"/>
        <v>470.99570301041115</v>
      </c>
      <c r="M66" s="11">
        <f t="shared" si="15"/>
        <v>-54433.739070413641</v>
      </c>
    </row>
    <row r="67" spans="1:13" x14ac:dyDescent="0.25">
      <c r="A67" s="7">
        <f t="shared" si="16"/>
        <v>43</v>
      </c>
      <c r="B67" s="11">
        <f t="shared" si="17"/>
        <v>53755.175640991096</v>
      </c>
      <c r="C67" s="11">
        <f t="shared" si="18"/>
        <v>95.974221926135769</v>
      </c>
      <c r="D67" s="11">
        <f t="shared" si="19"/>
        <v>0</v>
      </c>
      <c r="E67" s="11">
        <f t="shared" si="13"/>
        <v>-53755.175640991096</v>
      </c>
      <c r="F67" s="11">
        <f t="shared" si="20"/>
        <v>54647.7771610786</v>
      </c>
      <c r="G67" s="11">
        <f t="shared" si="21"/>
        <v>97.509033295441583</v>
      </c>
      <c r="H67" s="11">
        <f t="shared" si="22"/>
        <v>967.16987856830065</v>
      </c>
      <c r="I67" s="11">
        <f t="shared" si="14"/>
        <v>-53680.607282510296</v>
      </c>
      <c r="J67" s="11">
        <f t="shared" si="23"/>
        <v>54201.476401034844</v>
      </c>
      <c r="K67" s="11">
        <f t="shared" si="24"/>
        <v>96.741627610788669</v>
      </c>
      <c r="L67" s="11">
        <f t="shared" si="25"/>
        <v>483.58493928415032</v>
      </c>
      <c r="M67" s="11">
        <f t="shared" si="15"/>
        <v>-53717.891461750696</v>
      </c>
    </row>
    <row r="68" spans="1:13" x14ac:dyDescent="0.25">
      <c r="A68" s="7">
        <f t="shared" si="16"/>
        <v>44</v>
      </c>
      <c r="B68" s="11">
        <f t="shared" si="17"/>
        <v>53039.891756194527</v>
      </c>
      <c r="C68" s="11">
        <f t="shared" si="18"/>
        <v>94.716115203428117</v>
      </c>
      <c r="D68" s="11">
        <f t="shared" si="19"/>
        <v>0</v>
      </c>
      <c r="E68" s="11">
        <f t="shared" si="13"/>
        <v>-53039.891756194527</v>
      </c>
      <c r="F68" s="11">
        <f t="shared" si="20"/>
        <v>53954.066031786948</v>
      </c>
      <c r="G68" s="11">
        <f t="shared" si="21"/>
        <v>96.288870708349108</v>
      </c>
      <c r="H68" s="11">
        <f t="shared" si="22"/>
        <v>992.48676642194971</v>
      </c>
      <c r="I68" s="11">
        <f t="shared" si="14"/>
        <v>-52961.579265364999</v>
      </c>
      <c r="J68" s="11">
        <f t="shared" si="23"/>
        <v>53496.97889399073</v>
      </c>
      <c r="K68" s="11">
        <f t="shared" si="24"/>
        <v>95.502492955888599</v>
      </c>
      <c r="L68" s="11">
        <f t="shared" si="25"/>
        <v>496.24338321097486</v>
      </c>
      <c r="M68" s="11">
        <f t="shared" si="15"/>
        <v>-53000.735510779756</v>
      </c>
    </row>
    <row r="69" spans="1:13" x14ac:dyDescent="0.25">
      <c r="A69" s="7">
        <f t="shared" si="16"/>
        <v>45</v>
      </c>
      <c r="B69" s="11">
        <f t="shared" si="17"/>
        <v>52323.347547903002</v>
      </c>
      <c r="C69" s="11">
        <f t="shared" si="18"/>
        <v>93.455791708477335</v>
      </c>
      <c r="D69" s="11">
        <f t="shared" si="19"/>
        <v>0</v>
      </c>
      <c r="E69" s="11">
        <f t="shared" si="13"/>
        <v>-52323.347547903002</v>
      </c>
      <c r="F69" s="11">
        <f t="shared" si="20"/>
        <v>53259.132589993169</v>
      </c>
      <c r="G69" s="11">
        <f t="shared" si="21"/>
        <v>95.066558206224485</v>
      </c>
      <c r="H69" s="11">
        <f t="shared" si="22"/>
        <v>1017.9428305015174</v>
      </c>
      <c r="I69" s="11">
        <f t="shared" si="14"/>
        <v>-52241.189759491652</v>
      </c>
      <c r="J69" s="11">
        <f t="shared" si="23"/>
        <v>52791.240068948078</v>
      </c>
      <c r="K69" s="11">
        <f t="shared" si="24"/>
        <v>94.261174957350889</v>
      </c>
      <c r="L69" s="11">
        <f t="shared" si="25"/>
        <v>508.9714152507587</v>
      </c>
      <c r="M69" s="11">
        <f t="shared" si="15"/>
        <v>-52282.26865369732</v>
      </c>
    </row>
    <row r="70" spans="1:13" x14ac:dyDescent="0.25">
      <c r="A70" s="7">
        <f t="shared" si="16"/>
        <v>46</v>
      </c>
      <c r="B70" s="11">
        <f t="shared" si="17"/>
        <v>51605.540795438355</v>
      </c>
      <c r="C70" s="11">
        <f t="shared" si="18"/>
        <v>92.193247535351489</v>
      </c>
      <c r="D70" s="11">
        <f t="shared" si="19"/>
        <v>0</v>
      </c>
      <c r="E70" s="11">
        <f t="shared" si="13"/>
        <v>-51605.540795438355</v>
      </c>
      <c r="F70" s="11">
        <f t="shared" si="20"/>
        <v>52562.974681994107</v>
      </c>
      <c r="G70" s="11">
        <f t="shared" si="21"/>
        <v>93.842092000937598</v>
      </c>
      <c r="H70" s="11">
        <f t="shared" si="22"/>
        <v>1043.5388359098065</v>
      </c>
      <c r="I70" s="11">
        <f t="shared" si="14"/>
        <v>-51519.4358460843</v>
      </c>
      <c r="J70" s="11">
        <f t="shared" si="23"/>
        <v>52084.257738716224</v>
      </c>
      <c r="K70" s="11">
        <f t="shared" si="24"/>
        <v>93.017669768144529</v>
      </c>
      <c r="L70" s="11">
        <f t="shared" si="25"/>
        <v>521.76941795490325</v>
      </c>
      <c r="M70" s="11">
        <f t="shared" si="15"/>
        <v>-51562.488320761324</v>
      </c>
    </row>
    <row r="71" spans="1:13" x14ac:dyDescent="0.25">
      <c r="A71" s="7">
        <f t="shared" si="16"/>
        <v>47</v>
      </c>
      <c r="B71" s="11">
        <f t="shared" si="17"/>
        <v>50886.469274209594</v>
      </c>
      <c r="C71" s="11">
        <f t="shared" si="18"/>
        <v>90.928478771236513</v>
      </c>
      <c r="D71" s="11">
        <f t="shared" si="19"/>
        <v>0</v>
      </c>
      <c r="E71" s="11">
        <f t="shared" si="13"/>
        <v>-50886.469274209594</v>
      </c>
      <c r="F71" s="11">
        <f t="shared" si="20"/>
        <v>51865.590150291791</v>
      </c>
      <c r="G71" s="11">
        <f t="shared" si="21"/>
        <v>92.615468297683691</v>
      </c>
      <c r="H71" s="11">
        <f t="shared" si="22"/>
        <v>1069.2755519556713</v>
      </c>
      <c r="I71" s="11">
        <f t="shared" si="14"/>
        <v>-50796.314598336117</v>
      </c>
      <c r="J71" s="11">
        <f t="shared" si="23"/>
        <v>51376.029712250682</v>
      </c>
      <c r="K71" s="11">
        <f t="shared" si="24"/>
        <v>91.771973534460088</v>
      </c>
      <c r="L71" s="11">
        <f t="shared" si="25"/>
        <v>534.63777597783564</v>
      </c>
      <c r="M71" s="11">
        <f t="shared" si="15"/>
        <v>-50841.391936272848</v>
      </c>
    </row>
    <row r="72" spans="1:13" x14ac:dyDescent="0.25">
      <c r="A72" s="7">
        <f t="shared" si="16"/>
        <v>48</v>
      </c>
      <c r="B72" s="11">
        <f t="shared" si="17"/>
        <v>50166.130755706021</v>
      </c>
      <c r="C72" s="11">
        <f t="shared" si="18"/>
        <v>89.661481496423917</v>
      </c>
      <c r="D72" s="11">
        <f t="shared" si="19"/>
        <v>0</v>
      </c>
      <c r="E72" s="11">
        <f t="shared" si="13"/>
        <v>-50166.130755706021</v>
      </c>
      <c r="F72" s="11">
        <f t="shared" si="20"/>
        <v>51166.976833586763</v>
      </c>
      <c r="G72" s="11">
        <f t="shared" si="21"/>
        <v>91.386683294971576</v>
      </c>
      <c r="H72" s="11">
        <f t="shared" si="22"/>
        <v>1095.1537521771388</v>
      </c>
      <c r="I72" s="11">
        <f t="shared" si="14"/>
        <v>-50071.823081409624</v>
      </c>
      <c r="J72" s="11">
        <f t="shared" si="23"/>
        <v>50666.553794646381</v>
      </c>
      <c r="K72" s="11">
        <f t="shared" si="24"/>
        <v>90.524082395697732</v>
      </c>
      <c r="L72" s="11">
        <f t="shared" si="25"/>
        <v>547.57687608856941</v>
      </c>
      <c r="M72" s="11">
        <f t="shared" si="15"/>
        <v>-50118.976918557812</v>
      </c>
    </row>
    <row r="73" spans="1:13" x14ac:dyDescent="0.25">
      <c r="A73" s="7">
        <f t="shared" si="16"/>
        <v>49</v>
      </c>
      <c r="B73" s="11">
        <f t="shared" si="17"/>
        <v>49444.523007490323</v>
      </c>
      <c r="C73" s="11">
        <f t="shared" si="18"/>
        <v>88.392251784298793</v>
      </c>
      <c r="D73" s="11">
        <f t="shared" si="19"/>
        <v>0</v>
      </c>
      <c r="E73" s="11">
        <f t="shared" si="13"/>
        <v>-49444.523007490323</v>
      </c>
      <c r="F73" s="11">
        <f t="shared" si="20"/>
        <v>50467.132566771375</v>
      </c>
      <c r="G73" s="11">
        <f t="shared" si="21"/>
        <v>90.15573318461189</v>
      </c>
      <c r="H73" s="11">
        <f t="shared" si="22"/>
        <v>1121.1742143646588</v>
      </c>
      <c r="I73" s="11">
        <f t="shared" si="14"/>
        <v>-49345.958352406713</v>
      </c>
      <c r="J73" s="11">
        <f t="shared" si="23"/>
        <v>49955.827787130838</v>
      </c>
      <c r="K73" s="11">
        <f t="shared" si="24"/>
        <v>89.27399248445532</v>
      </c>
      <c r="L73" s="11">
        <f t="shared" si="25"/>
        <v>560.58710718232942</v>
      </c>
      <c r="M73" s="11">
        <f t="shared" si="15"/>
        <v>-49395.240679948511</v>
      </c>
    </row>
    <row r="74" spans="1:13" x14ac:dyDescent="0.25">
      <c r="A74" s="7">
        <f t="shared" si="16"/>
        <v>50</v>
      </c>
      <c r="B74" s="11">
        <f t="shared" si="17"/>
        <v>48721.643793191652</v>
      </c>
      <c r="C74" s="11">
        <f t="shared" si="18"/>
        <v>87.120785701327506</v>
      </c>
      <c r="D74" s="11">
        <f t="shared" si="19"/>
        <v>0</v>
      </c>
      <c r="E74" s="11">
        <f t="shared" si="13"/>
        <v>-48721.643793191652</v>
      </c>
      <c r="F74" s="11">
        <f t="shared" si="20"/>
        <v>49766.055180923082</v>
      </c>
      <c r="G74" s="11">
        <f t="shared" si="21"/>
        <v>88.922614151705261</v>
      </c>
      <c r="H74" s="11">
        <f t="shared" si="22"/>
        <v>1147.3377205844806</v>
      </c>
      <c r="I74" s="11">
        <f t="shared" si="14"/>
        <v>-48618.717460338601</v>
      </c>
      <c r="J74" s="11">
        <f t="shared" si="23"/>
        <v>49243.849487057356</v>
      </c>
      <c r="K74" s="11">
        <f t="shared" si="24"/>
        <v>88.021699926516362</v>
      </c>
      <c r="L74" s="11">
        <f t="shared" si="25"/>
        <v>573.66886029224031</v>
      </c>
      <c r="M74" s="11">
        <f t="shared" si="15"/>
        <v>-48670.180626765119</v>
      </c>
    </row>
    <row r="75" spans="1:13" x14ac:dyDescent="0.25">
      <c r="A75" s="7">
        <f t="shared" si="16"/>
        <v>51</v>
      </c>
      <c r="B75" s="11">
        <f t="shared" si="17"/>
        <v>47997.490872498696</v>
      </c>
      <c r="C75" s="11">
        <f t="shared" si="18"/>
        <v>85.847079307045618</v>
      </c>
      <c r="D75" s="11">
        <f t="shared" si="19"/>
        <v>0</v>
      </c>
      <c r="E75" s="11">
        <f t="shared" si="13"/>
        <v>-47997.490872498696</v>
      </c>
      <c r="F75" s="11">
        <f t="shared" si="20"/>
        <v>49063.742503297712</v>
      </c>
      <c r="G75" s="11">
        <f t="shared" si="21"/>
        <v>87.687322374630511</v>
      </c>
      <c r="H75" s="11">
        <f t="shared" si="22"/>
        <v>1173.6450572021586</v>
      </c>
      <c r="I75" s="11">
        <f t="shared" si="14"/>
        <v>-47890.097446095555</v>
      </c>
      <c r="J75" s="11">
        <f t="shared" si="23"/>
        <v>48530.616687898197</v>
      </c>
      <c r="K75" s="11">
        <f t="shared" si="24"/>
        <v>86.767200840838044</v>
      </c>
      <c r="L75" s="11">
        <f t="shared" si="25"/>
        <v>586.82252860107928</v>
      </c>
      <c r="M75" s="11">
        <f t="shared" si="15"/>
        <v>-47943.794159297118</v>
      </c>
    </row>
    <row r="76" spans="1:13" x14ac:dyDescent="0.25">
      <c r="A76" s="7">
        <f t="shared" si="16"/>
        <v>52</v>
      </c>
      <c r="B76" s="11">
        <f t="shared" si="17"/>
        <v>47272.062001152743</v>
      </c>
      <c r="C76" s="11">
        <f t="shared" si="18"/>
        <v>84.571128654045594</v>
      </c>
      <c r="D76" s="11">
        <f t="shared" si="19"/>
        <v>0</v>
      </c>
      <c r="E76" s="11">
        <f t="shared" si="13"/>
        <v>-47272.062001152743</v>
      </c>
      <c r="F76" s="11">
        <f t="shared" si="20"/>
        <v>48360.192357322747</v>
      </c>
      <c r="G76" s="11">
        <f t="shared" si="21"/>
        <v>86.449854025032792</v>
      </c>
      <c r="H76" s="11">
        <f t="shared" si="22"/>
        <v>1200.0970149061875</v>
      </c>
      <c r="I76" s="11">
        <f t="shared" si="14"/>
        <v>-47160.095342416556</v>
      </c>
      <c r="J76" s="11">
        <f t="shared" si="23"/>
        <v>47816.127179237737</v>
      </c>
      <c r="K76" s="11">
        <f t="shared" si="24"/>
        <v>85.510491339539186</v>
      </c>
      <c r="L76" s="11">
        <f t="shared" si="25"/>
        <v>600.04850745309375</v>
      </c>
      <c r="M76" s="11">
        <f t="shared" si="15"/>
        <v>-47216.078671784642</v>
      </c>
    </row>
    <row r="77" spans="1:13" x14ac:dyDescent="0.25">
      <c r="A77" s="7">
        <f t="shared" si="16"/>
        <v>53</v>
      </c>
      <c r="B77" s="11">
        <f t="shared" si="17"/>
        <v>46545.35493094071</v>
      </c>
      <c r="C77" s="11">
        <f t="shared" si="18"/>
        <v>83.292929787964667</v>
      </c>
      <c r="D77" s="11">
        <f t="shared" si="19"/>
        <v>0</v>
      </c>
      <c r="E77" s="11">
        <f t="shared" si="13"/>
        <v>-46545.35493094071</v>
      </c>
      <c r="F77" s="11">
        <f t="shared" si="20"/>
        <v>47655.402562590556</v>
      </c>
      <c r="G77" s="11">
        <f t="shared" si="21"/>
        <v>85.210205267811745</v>
      </c>
      <c r="H77" s="11">
        <f t="shared" si="22"/>
        <v>1226.6943887317668</v>
      </c>
      <c r="I77" s="11">
        <f t="shared" si="14"/>
        <v>-46428.708173858788</v>
      </c>
      <c r="J77" s="11">
        <f t="shared" si="23"/>
        <v>47100.378746765622</v>
      </c>
      <c r="K77" s="11">
        <f t="shared" si="24"/>
        <v>84.251567527888199</v>
      </c>
      <c r="L77" s="11">
        <f t="shared" si="25"/>
        <v>613.34719436588341</v>
      </c>
      <c r="M77" s="11">
        <f t="shared" si="15"/>
        <v>-46487.031552399741</v>
      </c>
    </row>
    <row r="78" spans="1:13" x14ac:dyDescent="0.25">
      <c r="A78" s="7">
        <f t="shared" si="16"/>
        <v>54</v>
      </c>
      <c r="B78" s="11">
        <f t="shared" si="17"/>
        <v>45817.36740968818</v>
      </c>
      <c r="C78" s="11">
        <f t="shared" si="18"/>
        <v>82.012478747472457</v>
      </c>
      <c r="D78" s="11">
        <f t="shared" si="19"/>
        <v>0</v>
      </c>
      <c r="E78" s="11">
        <f t="shared" si="13"/>
        <v>-45817.36740968818</v>
      </c>
      <c r="F78" s="11">
        <f t="shared" si="20"/>
        <v>46949.370934851664</v>
      </c>
      <c r="G78" s="11">
        <f t="shared" si="21"/>
        <v>83.968372261109593</v>
      </c>
      <c r="H78" s="11">
        <f t="shared" si="22"/>
        <v>1253.4379780846964</v>
      </c>
      <c r="I78" s="11">
        <f t="shared" si="14"/>
        <v>-45695.93295676697</v>
      </c>
      <c r="J78" s="11">
        <f t="shared" si="23"/>
        <v>46383.369172269915</v>
      </c>
      <c r="K78" s="11">
        <f t="shared" si="24"/>
        <v>82.990425504291011</v>
      </c>
      <c r="L78" s="11">
        <f t="shared" si="25"/>
        <v>626.7189890423482</v>
      </c>
      <c r="M78" s="11">
        <f t="shared" si="15"/>
        <v>-45756.650183227568</v>
      </c>
    </row>
    <row r="79" spans="1:13" x14ac:dyDescent="0.25">
      <c r="A79" s="7">
        <f t="shared" si="16"/>
        <v>55</v>
      </c>
      <c r="B79" s="11">
        <f t="shared" si="17"/>
        <v>45088.097181252437</v>
      </c>
      <c r="C79" s="11">
        <f t="shared" si="18"/>
        <v>80.729771564258769</v>
      </c>
      <c r="D79" s="11">
        <f t="shared" si="19"/>
        <v>0</v>
      </c>
      <c r="E79" s="11">
        <f t="shared" si="13"/>
        <v>-45088.097181252437</v>
      </c>
      <c r="F79" s="11">
        <f t="shared" si="20"/>
        <v>46242.095286007963</v>
      </c>
      <c r="G79" s="11">
        <f t="shared" si="21"/>
        <v>82.724351156299235</v>
      </c>
      <c r="H79" s="11">
        <f t="shared" si="22"/>
        <v>1280.3285867654033</v>
      </c>
      <c r="I79" s="11">
        <f t="shared" si="14"/>
        <v>-44961.766699242558</v>
      </c>
      <c r="J79" s="11">
        <f t="shared" si="23"/>
        <v>45665.096233630196</v>
      </c>
      <c r="K79" s="11">
        <f t="shared" si="24"/>
        <v>81.727061360278981</v>
      </c>
      <c r="L79" s="11">
        <f t="shared" si="25"/>
        <v>640.16429338270166</v>
      </c>
      <c r="M79" s="11">
        <f t="shared" si="15"/>
        <v>-45024.931940247494</v>
      </c>
    </row>
    <row r="80" spans="1:13" x14ac:dyDescent="0.25">
      <c r="A80" s="7">
        <f t="shared" si="16"/>
        <v>56</v>
      </c>
      <c r="B80" s="11">
        <f t="shared" si="17"/>
        <v>44357.541985515461</v>
      </c>
      <c r="C80" s="11">
        <f t="shared" si="18"/>
        <v>79.444804263021311</v>
      </c>
      <c r="D80" s="11">
        <f t="shared" si="19"/>
        <v>0</v>
      </c>
      <c r="E80" s="11">
        <f t="shared" si="13"/>
        <v>-44357.541985515461</v>
      </c>
      <c r="F80" s="11">
        <f t="shared" si="20"/>
        <v>45533.573424105933</v>
      </c>
      <c r="G80" s="11">
        <f t="shared" si="21"/>
        <v>81.47813809797232</v>
      </c>
      <c r="H80" s="11">
        <f t="shared" si="22"/>
        <v>1307.3670229931006</v>
      </c>
      <c r="I80" s="11">
        <f t="shared" si="14"/>
        <v>-44226.206401112831</v>
      </c>
      <c r="J80" s="11">
        <f t="shared" si="23"/>
        <v>44945.557704810693</v>
      </c>
      <c r="K80" s="11">
        <f t="shared" si="24"/>
        <v>80.461471180496815</v>
      </c>
      <c r="L80" s="11">
        <f t="shared" si="25"/>
        <v>653.6835114965503</v>
      </c>
      <c r="M80" s="11">
        <f t="shared" si="15"/>
        <v>-44291.874193314143</v>
      </c>
    </row>
    <row r="81" spans="1:13" x14ac:dyDescent="0.25">
      <c r="A81" s="7">
        <f t="shared" si="16"/>
        <v>57</v>
      </c>
      <c r="B81" s="11">
        <f t="shared" si="17"/>
        <v>43625.699558376917</v>
      </c>
      <c r="C81" s="11">
        <f t="shared" si="18"/>
        <v>78.157572861453318</v>
      </c>
      <c r="D81" s="11">
        <f t="shared" si="19"/>
        <v>0</v>
      </c>
      <c r="E81" s="11">
        <f t="shared" si="13"/>
        <v>-43625.699558376917</v>
      </c>
      <c r="F81" s="11">
        <f t="shared" si="20"/>
        <v>44823.803153329864</v>
      </c>
      <c r="G81" s="11">
        <f t="shared" si="21"/>
        <v>80.229729223927336</v>
      </c>
      <c r="H81" s="11">
        <f t="shared" si="22"/>
        <v>1334.5540994300788</v>
      </c>
      <c r="I81" s="11">
        <f t="shared" si="14"/>
        <v>-43489.249053899788</v>
      </c>
      <c r="J81" s="11">
        <f t="shared" si="23"/>
        <v>44224.751355853383</v>
      </c>
      <c r="K81" s="11">
        <f t="shared" si="24"/>
        <v>79.19365104269032</v>
      </c>
      <c r="L81" s="11">
        <f t="shared" si="25"/>
        <v>667.27704971503942</v>
      </c>
      <c r="M81" s="11">
        <f t="shared" si="15"/>
        <v>-43557.474306138341</v>
      </c>
    </row>
    <row r="82" spans="1:13" x14ac:dyDescent="0.25">
      <c r="A82" s="7">
        <f t="shared" si="16"/>
        <v>58</v>
      </c>
      <c r="B82" s="11">
        <f t="shared" si="17"/>
        <v>42892.567631747144</v>
      </c>
      <c r="C82" s="11">
        <f t="shared" si="18"/>
        <v>76.868073370231244</v>
      </c>
      <c r="D82" s="11">
        <f t="shared" si="19"/>
        <v>0</v>
      </c>
      <c r="E82" s="11">
        <f t="shared" si="13"/>
        <v>-42892.567631747144</v>
      </c>
      <c r="F82" s="11">
        <f t="shared" si="20"/>
        <v>44112.782273995021</v>
      </c>
      <c r="G82" s="11">
        <f t="shared" si="21"/>
        <v>78.979120665157595</v>
      </c>
      <c r="H82" s="11">
        <f t="shared" si="22"/>
        <v>1361.8906332061317</v>
      </c>
      <c r="I82" s="11">
        <f t="shared" si="14"/>
        <v>-42750.89164078889</v>
      </c>
      <c r="J82" s="11">
        <f t="shared" si="23"/>
        <v>43502.674952871079</v>
      </c>
      <c r="K82" s="11">
        <f t="shared" si="24"/>
        <v>77.923597017694405</v>
      </c>
      <c r="L82" s="11">
        <f t="shared" si="25"/>
        <v>680.94531660306586</v>
      </c>
      <c r="M82" s="11">
        <f t="shared" si="15"/>
        <v>-42821.729636268014</v>
      </c>
    </row>
    <row r="83" spans="1:13" x14ac:dyDescent="0.25">
      <c r="A83" s="7">
        <f t="shared" si="16"/>
        <v>59</v>
      </c>
      <c r="B83" s="11">
        <f t="shared" si="17"/>
        <v>42158.143933540145</v>
      </c>
      <c r="C83" s="11">
        <f t="shared" si="18"/>
        <v>75.576301793002401</v>
      </c>
      <c r="D83" s="11">
        <f t="shared" si="19"/>
        <v>0</v>
      </c>
      <c r="E83" s="11">
        <f t="shared" si="13"/>
        <v>-42158.143933540145</v>
      </c>
      <c r="F83" s="11">
        <f t="shared" si="20"/>
        <v>43400.508582540861</v>
      </c>
      <c r="G83" s="11">
        <f t="shared" si="21"/>
        <v>77.726308545839217</v>
      </c>
      <c r="H83" s="11">
        <f t="shared" si="22"/>
        <v>1389.3774459431154</v>
      </c>
      <c r="I83" s="11">
        <f t="shared" si="14"/>
        <v>-42011.131136597745</v>
      </c>
      <c r="J83" s="11">
        <f t="shared" si="23"/>
        <v>42779.326258040499</v>
      </c>
      <c r="K83" s="11">
        <f t="shared" si="24"/>
        <v>76.651305169420809</v>
      </c>
      <c r="L83" s="11">
        <f t="shared" si="25"/>
        <v>694.6887229715577</v>
      </c>
      <c r="M83" s="11">
        <f t="shared" si="15"/>
        <v>-42084.637535068941</v>
      </c>
    </row>
    <row r="84" spans="1:13" x14ac:dyDescent="0.25">
      <c r="A84" s="7">
        <f t="shared" si="16"/>
        <v>60</v>
      </c>
      <c r="B84" s="11">
        <f t="shared" si="17"/>
        <v>41422.426187666519</v>
      </c>
      <c r="C84" s="11">
        <f t="shared" si="18"/>
        <v>74.282254126372564</v>
      </c>
      <c r="D84" s="11">
        <f t="shared" si="19"/>
        <v>0</v>
      </c>
      <c r="E84" s="11">
        <f t="shared" si="13"/>
        <v>-41422.426187666519</v>
      </c>
      <c r="F84" s="11">
        <f t="shared" si="20"/>
        <v>42686.979871524178</v>
      </c>
      <c r="G84" s="11">
        <f t="shared" si="21"/>
        <v>76.471288983319198</v>
      </c>
      <c r="H84" s="11">
        <f t="shared" si="22"/>
        <v>1417.0153637796427</v>
      </c>
      <c r="I84" s="11">
        <f t="shared" si="14"/>
        <v>-41269.964507744538</v>
      </c>
      <c r="J84" s="11">
        <f t="shared" si="23"/>
        <v>42054.703029595345</v>
      </c>
      <c r="K84" s="11">
        <f t="shared" si="24"/>
        <v>75.376771554845874</v>
      </c>
      <c r="L84" s="11">
        <f t="shared" si="25"/>
        <v>708.50768188982136</v>
      </c>
      <c r="M84" s="11">
        <f t="shared" si="15"/>
        <v>-41346.195347705521</v>
      </c>
    </row>
    <row r="85" spans="1:13" x14ac:dyDescent="0.25">
      <c r="A85" s="7">
        <f t="shared" si="16"/>
        <v>61</v>
      </c>
      <c r="B85" s="11">
        <f t="shared" si="17"/>
        <v>40685.412114026411</v>
      </c>
      <c r="C85" s="11">
        <f t="shared" si="18"/>
        <v>72.985926359893554</v>
      </c>
      <c r="D85" s="11">
        <f t="shared" si="19"/>
        <v>0</v>
      </c>
      <c r="E85" s="11">
        <f t="shared" si="13"/>
        <v>-40685.412114026411</v>
      </c>
      <c r="F85" s="11">
        <f t="shared" si="20"/>
        <v>41972.19392961228</v>
      </c>
      <c r="G85" s="11">
        <f t="shared" si="21"/>
        <v>75.214058088103329</v>
      </c>
      <c r="H85" s="11">
        <f t="shared" si="22"/>
        <v>1444.805217395914</v>
      </c>
      <c r="I85" s="11">
        <f t="shared" si="14"/>
        <v>-40527.388712216365</v>
      </c>
      <c r="J85" s="11">
        <f t="shared" si="23"/>
        <v>41328.803021819345</v>
      </c>
      <c r="K85" s="11">
        <f t="shared" si="24"/>
        <v>74.099992223998427</v>
      </c>
      <c r="L85" s="11">
        <f t="shared" si="25"/>
        <v>722.40260869795702</v>
      </c>
      <c r="M85" s="11">
        <f t="shared" si="15"/>
        <v>-40606.400413121388</v>
      </c>
    </row>
    <row r="86" spans="1:13" x14ac:dyDescent="0.25">
      <c r="A86" s="7">
        <f t="shared" si="16"/>
        <v>62</v>
      </c>
      <c r="B86" s="11">
        <f t="shared" si="17"/>
        <v>39947.099428502464</v>
      </c>
      <c r="C86" s="11">
        <f t="shared" si="18"/>
        <v>71.687314476050815</v>
      </c>
      <c r="D86" s="11">
        <f t="shared" si="19"/>
        <v>0</v>
      </c>
      <c r="E86" s="11">
        <f t="shared" si="13"/>
        <v>-39947.099428502464</v>
      </c>
      <c r="F86" s="11">
        <f t="shared" si="20"/>
        <v>41256.148541576127</v>
      </c>
      <c r="G86" s="11">
        <f t="shared" si="21"/>
        <v>73.954611963844144</v>
      </c>
      <c r="H86" s="11">
        <f t="shared" si="22"/>
        <v>1472.7478420386838</v>
      </c>
      <c r="I86" s="11">
        <f t="shared" si="14"/>
        <v>-39783.400699537444</v>
      </c>
      <c r="J86" s="11">
        <f t="shared" si="23"/>
        <v>40601.623985039296</v>
      </c>
      <c r="K86" s="11">
        <f t="shared" si="24"/>
        <v>72.820963219947473</v>
      </c>
      <c r="L86" s="11">
        <f t="shared" si="25"/>
        <v>736.37392101934188</v>
      </c>
      <c r="M86" s="11">
        <f t="shared" si="15"/>
        <v>-39865.250064019951</v>
      </c>
    </row>
    <row r="87" spans="1:13" x14ac:dyDescent="0.25">
      <c r="A87" s="7">
        <f t="shared" si="16"/>
        <v>63</v>
      </c>
      <c r="B87" s="11">
        <f t="shared" si="17"/>
        <v>39207.485842952716</v>
      </c>
      <c r="C87" s="11">
        <f t="shared" si="18"/>
        <v>70.38641445025101</v>
      </c>
      <c r="D87" s="11">
        <f t="shared" si="19"/>
        <v>0</v>
      </c>
      <c r="E87" s="11">
        <f t="shared" si="13"/>
        <v>-39207.485842952716</v>
      </c>
      <c r="F87" s="11">
        <f t="shared" si="20"/>
        <v>40538.841488283455</v>
      </c>
      <c r="G87" s="11">
        <f t="shared" si="21"/>
        <v>72.692946707328844</v>
      </c>
      <c r="H87" s="11">
        <f t="shared" si="22"/>
        <v>1500.8440775463639</v>
      </c>
      <c r="I87" s="11">
        <f t="shared" si="14"/>
        <v>-39037.997410737094</v>
      </c>
      <c r="J87" s="11">
        <f t="shared" si="23"/>
        <v>39873.163665618085</v>
      </c>
      <c r="K87" s="11">
        <f t="shared" si="24"/>
        <v>71.539680578789927</v>
      </c>
      <c r="L87" s="11">
        <f t="shared" si="25"/>
        <v>750.42203877318195</v>
      </c>
      <c r="M87" s="11">
        <f t="shared" si="15"/>
        <v>-39122.741626844901</v>
      </c>
    </row>
    <row r="88" spans="1:13" x14ac:dyDescent="0.25">
      <c r="A88" s="7">
        <f t="shared" si="16"/>
        <v>64</v>
      </c>
      <c r="B88" s="11">
        <f t="shared" si="17"/>
        <v>38466.569065203526</v>
      </c>
      <c r="C88" s="11">
        <f t="shared" si="18"/>
        <v>69.083222250809456</v>
      </c>
      <c r="D88" s="11">
        <f t="shared" si="19"/>
        <v>0</v>
      </c>
      <c r="E88" s="11">
        <f t="shared" ref="E88:E119" si="26">D88-B88</f>
        <v>-38466.569065203526</v>
      </c>
      <c r="F88" s="11">
        <f t="shared" si="20"/>
        <v>39820.270546691921</v>
      </c>
      <c r="G88" s="11">
        <f t="shared" si="21"/>
        <v>71.429058408467213</v>
      </c>
      <c r="H88" s="11">
        <f t="shared" si="22"/>
        <v>1529.0947683742668</v>
      </c>
      <c r="I88" s="11">
        <f t="shared" ref="I88:I119" si="27">H88-F88</f>
        <v>-38291.175778317658</v>
      </c>
      <c r="J88" s="11">
        <f t="shared" si="23"/>
        <v>39143.41980594772</v>
      </c>
      <c r="K88" s="11">
        <f t="shared" si="24"/>
        <v>70.256140329638342</v>
      </c>
      <c r="L88" s="11">
        <f t="shared" si="25"/>
        <v>764.54738418713339</v>
      </c>
      <c r="M88" s="11">
        <f t="shared" ref="M88:M119" si="28">L88-J88</f>
        <v>-38378.872421760585</v>
      </c>
    </row>
    <row r="89" spans="1:13" x14ac:dyDescent="0.25">
      <c r="A89" s="7">
        <f t="shared" ref="A89:A120" si="29">A88+1</f>
        <v>65</v>
      </c>
      <c r="B89" s="11">
        <f t="shared" ref="B89:B120" si="30">MAX(0,B88*(1+$B$18)-MIN(B88*(1+$B$18),$B$8+$B$9))</f>
        <v>37724.346799042461</v>
      </c>
      <c r="C89" s="11">
        <f t="shared" ref="C89:C120" si="31">B88*$B$18</f>
        <v>67.777733838937692</v>
      </c>
      <c r="D89" s="11">
        <f t="shared" ref="D89:D120" si="32">D88*(1+$B$19)+MAX(0,($B$8+$B$9)-B88*(1+$B$18))</f>
        <v>0</v>
      </c>
      <c r="E89" s="11">
        <f t="shared" si="26"/>
        <v>-37724.346799042461</v>
      </c>
      <c r="F89" s="11">
        <f t="shared" ref="F89:F120" si="33">MAX(0,F88*(1+$B$18)-MIN(F88*(1+$B$18),$B$8))</f>
        <v>39100.433489842202</v>
      </c>
      <c r="G89" s="11">
        <f t="shared" ref="G89:G120" si="34">F88*$B$18</f>
        <v>70.162943150279503</v>
      </c>
      <c r="H89" s="11">
        <f t="shared" ref="H89:H120" si="35">H88*(1+$B$19)+$B$9+MAX(0,$B$8-F88*(1+$B$18))</f>
        <v>1557.5007636199855</v>
      </c>
      <c r="I89" s="11">
        <f t="shared" si="27"/>
        <v>-37542.932726222214</v>
      </c>
      <c r="J89" s="11">
        <f t="shared" ref="J89:J120" si="36">MAX(0,J88*(1+$B$18)-MIN(J88*(1+$B$18),$B$8+$B$9*$B$14))</f>
        <v>38412.390144442332</v>
      </c>
      <c r="K89" s="11">
        <f t="shared" ref="K89:K120" si="37">J88*$B$18</f>
        <v>68.970338494608598</v>
      </c>
      <c r="L89" s="11">
        <f t="shared" ref="L89:L120" si="38">L88*(1+$B$19)+IF(J88=0,$B$8+$B$9,$B$9*(1-$B$14)+MAX(0,($B$8+$B$9*$B$14)-J88*(1+$B$18)))</f>
        <v>778.75038180999275</v>
      </c>
      <c r="M89" s="11">
        <f t="shared" si="28"/>
        <v>-37633.639762632338</v>
      </c>
    </row>
    <row r="90" spans="1:13" x14ac:dyDescent="0.25">
      <c r="A90" s="7">
        <f t="shared" si="29"/>
        <v>66</v>
      </c>
      <c r="B90" s="11">
        <f t="shared" si="30"/>
        <v>36980.816744211195</v>
      </c>
      <c r="C90" s="11">
        <f t="shared" si="31"/>
        <v>66.469945168730959</v>
      </c>
      <c r="D90" s="11">
        <f t="shared" si="32"/>
        <v>0</v>
      </c>
      <c r="E90" s="11">
        <f t="shared" si="26"/>
        <v>-36980.816744211195</v>
      </c>
      <c r="F90" s="11">
        <f t="shared" si="33"/>
        <v>38379.328086851085</v>
      </c>
      <c r="G90" s="11">
        <f t="shared" si="34"/>
        <v>68.894597008884261</v>
      </c>
      <c r="H90" s="11">
        <f t="shared" si="35"/>
        <v>1586.0629170489142</v>
      </c>
      <c r="I90" s="11">
        <f t="shared" si="27"/>
        <v>-36793.265169802173</v>
      </c>
      <c r="J90" s="11">
        <f t="shared" si="36"/>
        <v>37680.07241553114</v>
      </c>
      <c r="K90" s="11">
        <f t="shared" si="37"/>
        <v>67.68227108880761</v>
      </c>
      <c r="L90" s="11">
        <f t="shared" si="38"/>
        <v>793.03145852445709</v>
      </c>
      <c r="M90" s="11">
        <f t="shared" si="28"/>
        <v>-36887.040957006684</v>
      </c>
    </row>
    <row r="91" spans="1:13" x14ac:dyDescent="0.25">
      <c r="A91" s="7">
        <f t="shared" si="29"/>
        <v>67</v>
      </c>
      <c r="B91" s="11">
        <f t="shared" si="30"/>
        <v>36235.976596398352</v>
      </c>
      <c r="C91" s="11">
        <f t="shared" si="31"/>
        <v>65.159852187155678</v>
      </c>
      <c r="D91" s="11">
        <f t="shared" si="32"/>
        <v>0</v>
      </c>
      <c r="E91" s="11">
        <f t="shared" si="26"/>
        <v>-36235.976596398352</v>
      </c>
      <c r="F91" s="11">
        <f t="shared" si="33"/>
        <v>37656.952102904572</v>
      </c>
      <c r="G91" s="11">
        <f t="shared" si="34"/>
        <v>67.624016053486187</v>
      </c>
      <c r="H91" s="11">
        <f t="shared" si="35"/>
        <v>1614.7820871199092</v>
      </c>
      <c r="I91" s="11">
        <f t="shared" si="27"/>
        <v>-36042.170015784664</v>
      </c>
      <c r="J91" s="11">
        <f t="shared" si="36"/>
        <v>36946.464349651462</v>
      </c>
      <c r="K91" s="11">
        <f t="shared" si="37"/>
        <v>66.39193412032094</v>
      </c>
      <c r="L91" s="11">
        <f t="shared" si="38"/>
        <v>807.3910435599546</v>
      </c>
      <c r="M91" s="11">
        <f t="shared" si="28"/>
        <v>-36139.073306091508</v>
      </c>
    </row>
    <row r="92" spans="1:13" x14ac:dyDescent="0.25">
      <c r="A92" s="7">
        <f t="shared" si="29"/>
        <v>68</v>
      </c>
      <c r="B92" s="11">
        <f t="shared" si="30"/>
        <v>35489.824047232389</v>
      </c>
      <c r="C92" s="11">
        <f t="shared" si="31"/>
        <v>63.847450834036799</v>
      </c>
      <c r="D92" s="11">
        <f t="shared" si="32"/>
        <v>0</v>
      </c>
      <c r="E92" s="11">
        <f t="shared" si="26"/>
        <v>-35489.824047232389</v>
      </c>
      <c r="F92" s="11">
        <f t="shared" si="33"/>
        <v>36933.303299250932</v>
      </c>
      <c r="G92" s="11">
        <f t="shared" si="34"/>
        <v>66.351196346364006</v>
      </c>
      <c r="H92" s="11">
        <f t="shared" si="35"/>
        <v>1643.6591370110898</v>
      </c>
      <c r="I92" s="11">
        <f t="shared" si="27"/>
        <v>-35289.644162239842</v>
      </c>
      <c r="J92" s="11">
        <f t="shared" si="36"/>
        <v>36211.563673241661</v>
      </c>
      <c r="K92" s="11">
        <f t="shared" si="37"/>
        <v>65.099323590200399</v>
      </c>
      <c r="L92" s="11">
        <f t="shared" si="38"/>
        <v>821.8295685055449</v>
      </c>
      <c r="M92" s="11">
        <f t="shared" si="28"/>
        <v>-35389.734104736119</v>
      </c>
    </row>
    <row r="93" spans="1:13" x14ac:dyDescent="0.25">
      <c r="A93" s="7">
        <f t="shared" si="29"/>
        <v>69</v>
      </c>
      <c r="B93" s="11">
        <f t="shared" si="30"/>
        <v>34742.356784274431</v>
      </c>
      <c r="C93" s="11">
        <f t="shared" si="31"/>
        <v>62.532737042045326</v>
      </c>
      <c r="D93" s="11">
        <f t="shared" si="32"/>
        <v>0</v>
      </c>
      <c r="E93" s="11">
        <f t="shared" si="26"/>
        <v>-34742.356784274431</v>
      </c>
      <c r="F93" s="11">
        <f t="shared" si="33"/>
        <v>36208.37943319379</v>
      </c>
      <c r="G93" s="11">
        <f t="shared" si="34"/>
        <v>65.076133942858164</v>
      </c>
      <c r="H93" s="11">
        <f t="shared" si="35"/>
        <v>1672.6949346457825</v>
      </c>
      <c r="I93" s="11">
        <f t="shared" si="27"/>
        <v>-34535.684498548006</v>
      </c>
      <c r="J93" s="11">
        <f t="shared" si="36"/>
        <v>35475.36810873411</v>
      </c>
      <c r="K93" s="11">
        <f t="shared" si="37"/>
        <v>63.804435492451745</v>
      </c>
      <c r="L93" s="11">
        <f t="shared" si="38"/>
        <v>836.34746732289125</v>
      </c>
      <c r="M93" s="11">
        <f t="shared" si="28"/>
        <v>-34639.020641411218</v>
      </c>
    </row>
    <row r="94" spans="1:13" x14ac:dyDescent="0.25">
      <c r="A94" s="7">
        <f t="shared" si="29"/>
        <v>70</v>
      </c>
      <c r="B94" s="11">
        <f t="shared" si="30"/>
        <v>33993.572491011117</v>
      </c>
      <c r="C94" s="11">
        <f t="shared" si="31"/>
        <v>61.215706736685661</v>
      </c>
      <c r="D94" s="11">
        <f t="shared" si="32"/>
        <v>0</v>
      </c>
      <c r="E94" s="11">
        <f t="shared" si="26"/>
        <v>-33993.572491011117</v>
      </c>
      <c r="F94" s="11">
        <f t="shared" si="33"/>
        <v>35482.17825808515</v>
      </c>
      <c r="G94" s="11">
        <f t="shared" si="34"/>
        <v>63.798824891358677</v>
      </c>
      <c r="H94" s="11">
        <f t="shared" si="35"/>
        <v>1701.8903527186071</v>
      </c>
      <c r="I94" s="11">
        <f t="shared" si="27"/>
        <v>-33780.287905366546</v>
      </c>
      <c r="J94" s="11">
        <f t="shared" si="36"/>
        <v>34737.87537454813</v>
      </c>
      <c r="K94" s="11">
        <f t="shared" si="37"/>
        <v>62.507265814022169</v>
      </c>
      <c r="L94" s="11">
        <f t="shared" si="38"/>
        <v>850.94517635930356</v>
      </c>
      <c r="M94" s="11">
        <f t="shared" si="28"/>
        <v>-33886.930198188827</v>
      </c>
    </row>
    <row r="95" spans="1:13" x14ac:dyDescent="0.25">
      <c r="A95" s="7">
        <f t="shared" si="29"/>
        <v>71</v>
      </c>
      <c r="B95" s="11">
        <f t="shared" si="30"/>
        <v>33243.468846847398</v>
      </c>
      <c r="C95" s="11">
        <f t="shared" si="31"/>
        <v>59.896355836282986</v>
      </c>
      <c r="D95" s="11">
        <f t="shared" si="32"/>
        <v>0</v>
      </c>
      <c r="E95" s="11">
        <f t="shared" si="26"/>
        <v>-33243.468846847398</v>
      </c>
      <c r="F95" s="11">
        <f t="shared" si="33"/>
        <v>34754.697523318442</v>
      </c>
      <c r="G95" s="11">
        <f t="shared" si="34"/>
        <v>62.519265233292856</v>
      </c>
      <c r="H95" s="11">
        <f t="shared" si="35"/>
        <v>1731.2462687217057</v>
      </c>
      <c r="I95" s="11">
        <f t="shared" si="27"/>
        <v>-33023.451254596737</v>
      </c>
      <c r="J95" s="11">
        <f t="shared" si="36"/>
        <v>33999.08318508292</v>
      </c>
      <c r="K95" s="11">
        <f t="shared" si="37"/>
        <v>61.20781053478791</v>
      </c>
      <c r="L95" s="11">
        <f t="shared" si="38"/>
        <v>865.62313436085287</v>
      </c>
      <c r="M95" s="11">
        <f t="shared" si="28"/>
        <v>-33133.460050722068</v>
      </c>
    </row>
    <row r="96" spans="1:13" x14ac:dyDescent="0.25">
      <c r="A96" s="7">
        <f t="shared" si="29"/>
        <v>72</v>
      </c>
      <c r="B96" s="11">
        <f t="shared" si="30"/>
        <v>32492.043527099369</v>
      </c>
      <c r="C96" s="11">
        <f t="shared" si="31"/>
        <v>58.574680251970591</v>
      </c>
      <c r="D96" s="11">
        <f t="shared" si="32"/>
        <v>0</v>
      </c>
      <c r="E96" s="11">
        <f t="shared" si="26"/>
        <v>-32492.043527099369</v>
      </c>
      <c r="F96" s="11">
        <f t="shared" si="33"/>
        <v>34025.934974321557</v>
      </c>
      <c r="G96" s="11">
        <f t="shared" si="34"/>
        <v>61.23745100311303</v>
      </c>
      <c r="H96" s="11">
        <f t="shared" si="35"/>
        <v>1760.7635649711171</v>
      </c>
      <c r="I96" s="11">
        <f t="shared" si="27"/>
        <v>-32265.171409350442</v>
      </c>
      <c r="J96" s="11">
        <f t="shared" si="36"/>
        <v>33258.98925071046</v>
      </c>
      <c r="K96" s="11">
        <f t="shared" si="37"/>
        <v>59.906065627541814</v>
      </c>
      <c r="L96" s="11">
        <f t="shared" si="38"/>
        <v>880.38178248555857</v>
      </c>
      <c r="M96" s="11">
        <f t="shared" si="28"/>
        <v>-32378.607468224902</v>
      </c>
    </row>
    <row r="97" spans="1:13" x14ac:dyDescent="0.25">
      <c r="A97" s="7">
        <f t="shared" si="29"/>
        <v>73</v>
      </c>
      <c r="B97" s="11">
        <f t="shared" si="30"/>
        <v>31739.294202987046</v>
      </c>
      <c r="C97" s="11">
        <f t="shared" si="31"/>
        <v>57.250675887677254</v>
      </c>
      <c r="D97" s="11">
        <f t="shared" si="32"/>
        <v>0</v>
      </c>
      <c r="E97" s="11">
        <f t="shared" si="26"/>
        <v>-31739.294202987046</v>
      </c>
      <c r="F97" s="11">
        <f t="shared" si="33"/>
        <v>33295.888352549839</v>
      </c>
      <c r="G97" s="11">
        <f t="shared" si="34"/>
        <v>59.953378228284308</v>
      </c>
      <c r="H97" s="11">
        <f t="shared" si="35"/>
        <v>1790.4431286332951</v>
      </c>
      <c r="I97" s="11">
        <f t="shared" si="27"/>
        <v>-31505.445223916544</v>
      </c>
      <c r="J97" s="11">
        <f t="shared" si="36"/>
        <v>32517.591277768443</v>
      </c>
      <c r="K97" s="11">
        <f t="shared" si="37"/>
        <v>58.602027057980777</v>
      </c>
      <c r="L97" s="11">
        <f t="shared" si="38"/>
        <v>895.22156431664757</v>
      </c>
      <c r="M97" s="11">
        <f t="shared" si="28"/>
        <v>-31622.369713451793</v>
      </c>
    </row>
    <row r="98" spans="1:13" x14ac:dyDescent="0.25">
      <c r="A98" s="7">
        <f t="shared" si="29"/>
        <v>74</v>
      </c>
      <c r="B98" s="11">
        <f t="shared" si="30"/>
        <v>30985.21854162716</v>
      </c>
      <c r="C98" s="11">
        <f t="shared" si="31"/>
        <v>55.924338640114485</v>
      </c>
      <c r="D98" s="11">
        <f t="shared" si="32"/>
        <v>0</v>
      </c>
      <c r="E98" s="11">
        <f t="shared" si="26"/>
        <v>-30985.21854162716</v>
      </c>
      <c r="F98" s="11">
        <f t="shared" si="33"/>
        <v>32564.55539547911</v>
      </c>
      <c r="G98" s="11">
        <f t="shared" si="34"/>
        <v>58.667042929272185</v>
      </c>
      <c r="H98" s="11">
        <f t="shared" si="35"/>
        <v>1820.2858517517732</v>
      </c>
      <c r="I98" s="11">
        <f t="shared" si="27"/>
        <v>-30744.269543727336</v>
      </c>
      <c r="J98" s="11">
        <f t="shared" si="36"/>
        <v>31774.886968553135</v>
      </c>
      <c r="K98" s="11">
        <f t="shared" si="37"/>
        <v>57.295690784693335</v>
      </c>
      <c r="L98" s="11">
        <f t="shared" si="38"/>
        <v>910.14292587588659</v>
      </c>
      <c r="M98" s="11">
        <f t="shared" si="28"/>
        <v>-30864.744042677248</v>
      </c>
    </row>
    <row r="99" spans="1:13" x14ac:dyDescent="0.25">
      <c r="A99" s="7">
        <f t="shared" si="29"/>
        <v>75</v>
      </c>
      <c r="B99" s="11">
        <f t="shared" si="30"/>
        <v>30229.814206025923</v>
      </c>
      <c r="C99" s="11">
        <f t="shared" si="31"/>
        <v>54.595664398763844</v>
      </c>
      <c r="D99" s="11">
        <f t="shared" si="32"/>
        <v>0</v>
      </c>
      <c r="E99" s="11">
        <f t="shared" si="26"/>
        <v>-30229.814206025923</v>
      </c>
      <c r="F99" s="11">
        <f t="shared" si="33"/>
        <v>31831.93383659864</v>
      </c>
      <c r="G99" s="11">
        <f t="shared" si="34"/>
        <v>57.378441119530279</v>
      </c>
      <c r="H99" s="11">
        <f t="shared" si="35"/>
        <v>1850.2926312739755</v>
      </c>
      <c r="I99" s="11">
        <f t="shared" si="27"/>
        <v>-29981.641205324664</v>
      </c>
      <c r="J99" s="11">
        <f t="shared" si="36"/>
        <v>31030.874021312284</v>
      </c>
      <c r="K99" s="11">
        <f t="shared" si="37"/>
        <v>55.987052759147062</v>
      </c>
      <c r="L99" s="11">
        <f t="shared" si="38"/>
        <v>925.14631563698777</v>
      </c>
      <c r="M99" s="11">
        <f t="shared" si="28"/>
        <v>-30105.727705675297</v>
      </c>
    </row>
    <row r="100" spans="1:13" x14ac:dyDescent="0.25">
      <c r="A100" s="7">
        <f t="shared" si="29"/>
        <v>76</v>
      </c>
      <c r="B100" s="11">
        <f t="shared" si="30"/>
        <v>29473.078855071788</v>
      </c>
      <c r="C100" s="11">
        <f t="shared" si="31"/>
        <v>53.264649045864211</v>
      </c>
      <c r="D100" s="11">
        <f t="shared" si="32"/>
        <v>0</v>
      </c>
      <c r="E100" s="11">
        <f t="shared" si="26"/>
        <v>-29473.078855071788</v>
      </c>
      <c r="F100" s="11">
        <f t="shared" si="33"/>
        <v>31098.021405404128</v>
      </c>
      <c r="G100" s="11">
        <f t="shared" si="34"/>
        <v>56.087568805487962</v>
      </c>
      <c r="H100" s="11">
        <f t="shared" si="35"/>
        <v>1880.4643690781759</v>
      </c>
      <c r="I100" s="11">
        <f t="shared" si="27"/>
        <v>-29217.557036325954</v>
      </c>
      <c r="J100" s="11">
        <f t="shared" si="36"/>
        <v>30285.55013023796</v>
      </c>
      <c r="K100" s="11">
        <f t="shared" si="37"/>
        <v>54.67610892567609</v>
      </c>
      <c r="L100" s="11">
        <f t="shared" si="38"/>
        <v>940.23218453908794</v>
      </c>
      <c r="M100" s="11">
        <f t="shared" si="28"/>
        <v>-29345.317945698873</v>
      </c>
    </row>
    <row r="101" spans="1:13" x14ac:dyDescent="0.25">
      <c r="A101" s="7">
        <f t="shared" si="29"/>
        <v>77</v>
      </c>
      <c r="B101" s="11">
        <f t="shared" si="30"/>
        <v>28715.010143528187</v>
      </c>
      <c r="C101" s="11">
        <f t="shared" si="31"/>
        <v>51.931288456398981</v>
      </c>
      <c r="D101" s="11">
        <f t="shared" si="32"/>
        <v>0</v>
      </c>
      <c r="E101" s="11">
        <f t="shared" si="26"/>
        <v>-28715.010143528187</v>
      </c>
      <c r="F101" s="11">
        <f t="shared" si="33"/>
        <v>30362.815827390667</v>
      </c>
      <c r="G101" s="11">
        <f t="shared" si="34"/>
        <v>54.794421986537934</v>
      </c>
      <c r="H101" s="11">
        <f t="shared" si="35"/>
        <v>1910.8019720006034</v>
      </c>
      <c r="I101" s="11">
        <f t="shared" si="27"/>
        <v>-28452.013855390062</v>
      </c>
      <c r="J101" s="11">
        <f t="shared" si="36"/>
        <v>29538.912985459428</v>
      </c>
      <c r="K101" s="11">
        <f t="shared" si="37"/>
        <v>53.362855221468465</v>
      </c>
      <c r="L101" s="11">
        <f t="shared" si="38"/>
        <v>955.40098600030171</v>
      </c>
      <c r="M101" s="11">
        <f t="shared" si="28"/>
        <v>-28583.511999459126</v>
      </c>
    </row>
    <row r="102" spans="1:13" x14ac:dyDescent="0.25">
      <c r="A102" s="7">
        <f t="shared" si="29"/>
        <v>78</v>
      </c>
      <c r="B102" s="11">
        <f t="shared" si="30"/>
        <v>27955.60572202627</v>
      </c>
      <c r="C102" s="11">
        <f t="shared" si="31"/>
        <v>50.595578498083349</v>
      </c>
      <c r="D102" s="11">
        <f t="shared" si="32"/>
        <v>0</v>
      </c>
      <c r="E102" s="11">
        <f t="shared" si="26"/>
        <v>-27955.60572202627</v>
      </c>
      <c r="F102" s="11">
        <f t="shared" si="33"/>
        <v>29626.31482404569</v>
      </c>
      <c r="G102" s="11">
        <f t="shared" si="34"/>
        <v>53.498996655023902</v>
      </c>
      <c r="H102" s="11">
        <f t="shared" si="35"/>
        <v>1941.3063518626993</v>
      </c>
      <c r="I102" s="11">
        <f t="shared" si="27"/>
        <v>-27685.008472182992</v>
      </c>
      <c r="J102" s="11">
        <f t="shared" si="36"/>
        <v>28790.960273035984</v>
      </c>
      <c r="K102" s="11">
        <f t="shared" si="37"/>
        <v>52.047287576553629</v>
      </c>
      <c r="L102" s="11">
        <f t="shared" si="38"/>
        <v>970.65317593134967</v>
      </c>
      <c r="M102" s="11">
        <f t="shared" si="28"/>
        <v>-27820.307097104633</v>
      </c>
    </row>
    <row r="103" spans="1:13" x14ac:dyDescent="0.25">
      <c r="A103" s="7">
        <f t="shared" si="29"/>
        <v>79</v>
      </c>
      <c r="B103" s="11">
        <f t="shared" si="30"/>
        <v>27194.86323705762</v>
      </c>
      <c r="C103" s="11">
        <f t="shared" si="31"/>
        <v>49.257515031351417</v>
      </c>
      <c r="D103" s="11">
        <f t="shared" si="32"/>
        <v>0</v>
      </c>
      <c r="E103" s="11">
        <f t="shared" si="26"/>
        <v>-27194.86323705762</v>
      </c>
      <c r="F103" s="11">
        <f t="shared" si="33"/>
        <v>28888.516112841917</v>
      </c>
      <c r="G103" s="11">
        <f t="shared" si="34"/>
        <v>52.201288796228091</v>
      </c>
      <c r="H103" s="11">
        <f t="shared" si="35"/>
        <v>1971.978425498522</v>
      </c>
      <c r="I103" s="11">
        <f t="shared" si="27"/>
        <v>-26916.537687343396</v>
      </c>
      <c r="J103" s="11">
        <f t="shared" si="36"/>
        <v>28041.689674949772</v>
      </c>
      <c r="K103" s="11">
        <f t="shared" si="37"/>
        <v>50.729401913789765</v>
      </c>
      <c r="L103" s="11">
        <f t="shared" si="38"/>
        <v>985.98921274926101</v>
      </c>
      <c r="M103" s="11">
        <f t="shared" si="28"/>
        <v>-27055.700462200512</v>
      </c>
    </row>
    <row r="104" spans="1:13" x14ac:dyDescent="0.25">
      <c r="A104" s="7">
        <f t="shared" si="29"/>
        <v>80</v>
      </c>
      <c r="B104" s="11">
        <f t="shared" si="30"/>
        <v>26432.780330966962</v>
      </c>
      <c r="C104" s="11">
        <f t="shared" si="31"/>
        <v>47.917093909343443</v>
      </c>
      <c r="D104" s="11">
        <f t="shared" si="32"/>
        <v>0</v>
      </c>
      <c r="E104" s="11">
        <f t="shared" si="26"/>
        <v>-26432.780330966962</v>
      </c>
      <c r="F104" s="11">
        <f t="shared" si="33"/>
        <v>28149.417407230274</v>
      </c>
      <c r="G104" s="11">
        <f t="shared" si="34"/>
        <v>50.901294388358849</v>
      </c>
      <c r="H104" s="11">
        <f t="shared" si="35"/>
        <v>2002.8191147823029</v>
      </c>
      <c r="I104" s="11">
        <f t="shared" si="27"/>
        <v>-26146.598292447972</v>
      </c>
      <c r="J104" s="11">
        <f t="shared" si="36"/>
        <v>27291.098869098623</v>
      </c>
      <c r="K104" s="11">
        <f t="shared" si="37"/>
        <v>49.409194148851157</v>
      </c>
      <c r="L104" s="11">
        <f t="shared" si="38"/>
        <v>1001.4095573911515</v>
      </c>
      <c r="M104" s="11">
        <f t="shared" si="28"/>
        <v>-26289.689311707472</v>
      </c>
    </row>
    <row r="105" spans="1:13" x14ac:dyDescent="0.25">
      <c r="A105" s="7">
        <f t="shared" si="29"/>
        <v>81</v>
      </c>
      <c r="B105" s="11">
        <f t="shared" si="30"/>
        <v>25669.354641944854</v>
      </c>
      <c r="C105" s="11">
        <f t="shared" si="31"/>
        <v>46.574310977892956</v>
      </c>
      <c r="D105" s="11">
        <f t="shared" si="32"/>
        <v>0</v>
      </c>
      <c r="E105" s="11">
        <f t="shared" si="26"/>
        <v>-25669.354641944854</v>
      </c>
      <c r="F105" s="11">
        <f t="shared" si="33"/>
        <v>27409.01641663281</v>
      </c>
      <c r="G105" s="11">
        <f t="shared" si="34"/>
        <v>49.599009402538158</v>
      </c>
      <c r="H105" s="11">
        <f t="shared" si="35"/>
        <v>2033.8293466561547</v>
      </c>
      <c r="I105" s="11">
        <f t="shared" si="27"/>
        <v>-25375.187069976655</v>
      </c>
      <c r="J105" s="11">
        <f t="shared" si="36"/>
        <v>26539.185529288839</v>
      </c>
      <c r="K105" s="11">
        <f t="shared" si="37"/>
        <v>48.086660190215568</v>
      </c>
      <c r="L105" s="11">
        <f t="shared" si="38"/>
        <v>1016.9146733280774</v>
      </c>
      <c r="M105" s="11">
        <f t="shared" si="28"/>
        <v>-25522.270855960764</v>
      </c>
    </row>
    <row r="106" spans="1:13" x14ac:dyDescent="0.25">
      <c r="A106" s="7">
        <f t="shared" si="29"/>
        <v>82</v>
      </c>
      <c r="B106" s="11">
        <f t="shared" si="30"/>
        <v>24904.583804020367</v>
      </c>
      <c r="C106" s="11">
        <f t="shared" si="31"/>
        <v>45.229162075513862</v>
      </c>
      <c r="D106" s="11">
        <f t="shared" si="32"/>
        <v>0</v>
      </c>
      <c r="E106" s="11">
        <f t="shared" si="26"/>
        <v>-24904.583804020367</v>
      </c>
      <c r="F106" s="11">
        <f t="shared" si="33"/>
        <v>26667.310846435601</v>
      </c>
      <c r="G106" s="11">
        <f t="shared" si="34"/>
        <v>48.294429802789153</v>
      </c>
      <c r="H106" s="11">
        <f t="shared" si="35"/>
        <v>2065.010053157931</v>
      </c>
      <c r="I106" s="11">
        <f t="shared" si="27"/>
        <v>-24602.300793277671</v>
      </c>
      <c r="J106" s="11">
        <f t="shared" si="36"/>
        <v>25785.947325227989</v>
      </c>
      <c r="K106" s="11">
        <f t="shared" si="37"/>
        <v>46.761795939151519</v>
      </c>
      <c r="L106" s="11">
        <f t="shared" si="38"/>
        <v>1032.5050265789655</v>
      </c>
      <c r="M106" s="11">
        <f t="shared" si="28"/>
        <v>-24753.442298649024</v>
      </c>
    </row>
    <row r="107" spans="1:13" x14ac:dyDescent="0.25">
      <c r="A107" s="7">
        <f t="shared" si="29"/>
        <v>83</v>
      </c>
      <c r="B107" s="11">
        <f t="shared" si="30"/>
        <v>24138.465447053753</v>
      </c>
      <c r="C107" s="11">
        <f t="shared" si="31"/>
        <v>43.88164303338759</v>
      </c>
      <c r="D107" s="11">
        <f t="shared" si="32"/>
        <v>0</v>
      </c>
      <c r="E107" s="11">
        <f t="shared" si="26"/>
        <v>-24138.465447053753</v>
      </c>
      <c r="F107" s="11">
        <f t="shared" si="33"/>
        <v>25924.298397981624</v>
      </c>
      <c r="G107" s="11">
        <f t="shared" si="34"/>
        <v>46.987551546023624</v>
      </c>
      <c r="H107" s="11">
        <f t="shared" si="35"/>
        <v>2096.3621714492401</v>
      </c>
      <c r="I107" s="11">
        <f t="shared" si="27"/>
        <v>-23827.936226532383</v>
      </c>
      <c r="J107" s="11">
        <f t="shared" si="36"/>
        <v>25031.381922517696</v>
      </c>
      <c r="K107" s="11">
        <f t="shared" si="37"/>
        <v>45.434597289705614</v>
      </c>
      <c r="L107" s="11">
        <f t="shared" si="38"/>
        <v>1048.1810857246201</v>
      </c>
      <c r="M107" s="11">
        <f t="shared" si="28"/>
        <v>-23983.200836793076</v>
      </c>
    </row>
    <row r="108" spans="1:13" x14ac:dyDescent="0.25">
      <c r="A108" s="7">
        <f t="shared" si="29"/>
        <v>84</v>
      </c>
      <c r="B108" s="11">
        <f t="shared" si="30"/>
        <v>23370.997196729102</v>
      </c>
      <c r="C108" s="11">
        <f t="shared" si="31"/>
        <v>42.531749675350135</v>
      </c>
      <c r="D108" s="11">
        <f t="shared" si="32"/>
        <v>0</v>
      </c>
      <c r="E108" s="11">
        <f t="shared" si="26"/>
        <v>-23370.997196729102</v>
      </c>
      <c r="F108" s="11">
        <f t="shared" si="33"/>
        <v>25179.976768563654</v>
      </c>
      <c r="G108" s="11">
        <f t="shared" si="34"/>
        <v>45.678370582029466</v>
      </c>
      <c r="H108" s="11">
        <f t="shared" si="35"/>
        <v>2127.8866438436116</v>
      </c>
      <c r="I108" s="11">
        <f t="shared" si="27"/>
        <v>-23052.090124720042</v>
      </c>
      <c r="J108" s="11">
        <f t="shared" si="36"/>
        <v>24275.486982646387</v>
      </c>
      <c r="K108" s="11">
        <f t="shared" si="37"/>
        <v>44.105060128689807</v>
      </c>
      <c r="L108" s="11">
        <f t="shared" si="38"/>
        <v>1063.9433219218058</v>
      </c>
      <c r="M108" s="11">
        <f t="shared" si="28"/>
        <v>-23211.543660724583</v>
      </c>
    </row>
    <row r="109" spans="1:13" x14ac:dyDescent="0.25">
      <c r="A109" s="7">
        <f t="shared" si="29"/>
        <v>85</v>
      </c>
      <c r="B109" s="11">
        <f t="shared" si="30"/>
        <v>22602.176674546979</v>
      </c>
      <c r="C109" s="11">
        <f t="shared" si="31"/>
        <v>41.179477817879125</v>
      </c>
      <c r="D109" s="11">
        <f t="shared" si="32"/>
        <v>0</v>
      </c>
      <c r="E109" s="11">
        <f t="shared" si="26"/>
        <v>-22602.176674546979</v>
      </c>
      <c r="F109" s="11">
        <f t="shared" si="33"/>
        <v>24434.343651417112</v>
      </c>
      <c r="G109" s="11">
        <f t="shared" si="34"/>
        <v>44.366882853458144</v>
      </c>
      <c r="H109" s="11">
        <f t="shared" si="35"/>
        <v>2159.5844178348175</v>
      </c>
      <c r="I109" s="11">
        <f t="shared" si="27"/>
        <v>-22274.759233582296</v>
      </c>
      <c r="J109" s="11">
        <f t="shared" si="36"/>
        <v>23518.260162982056</v>
      </c>
      <c r="K109" s="11">
        <f t="shared" si="37"/>
        <v>42.773180335668648</v>
      </c>
      <c r="L109" s="11">
        <f t="shared" si="38"/>
        <v>1079.7922089174087</v>
      </c>
      <c r="M109" s="11">
        <f t="shared" si="28"/>
        <v>-22438.467954064647</v>
      </c>
    </row>
    <row r="110" spans="1:13" x14ac:dyDescent="0.25">
      <c r="A110" s="7">
        <f t="shared" si="29"/>
        <v>86</v>
      </c>
      <c r="B110" s="11">
        <f t="shared" si="30"/>
        <v>21832.001497817062</v>
      </c>
      <c r="C110" s="11">
        <f t="shared" si="31"/>
        <v>39.824823270080891</v>
      </c>
      <c r="D110" s="11">
        <f t="shared" si="32"/>
        <v>0</v>
      </c>
      <c r="E110" s="11">
        <f t="shared" si="26"/>
        <v>-21832.001497817062</v>
      </c>
      <c r="F110" s="11">
        <f t="shared" si="33"/>
        <v>23687.396735712922</v>
      </c>
      <c r="G110" s="11">
        <f t="shared" si="34"/>
        <v>43.053084295812113</v>
      </c>
      <c r="H110" s="11">
        <f t="shared" si="35"/>
        <v>2191.4564461253522</v>
      </c>
      <c r="I110" s="11">
        <f t="shared" si="27"/>
        <v>-21495.940289587568</v>
      </c>
      <c r="J110" s="11">
        <f t="shared" si="36"/>
        <v>22759.699116765001</v>
      </c>
      <c r="K110" s="11">
        <f t="shared" si="37"/>
        <v>41.43895378294652</v>
      </c>
      <c r="L110" s="11">
        <f t="shared" si="38"/>
        <v>1095.7282230626761</v>
      </c>
      <c r="M110" s="11">
        <f t="shared" si="28"/>
        <v>-21663.970893702324</v>
      </c>
    </row>
    <row r="111" spans="1:13" x14ac:dyDescent="0.25">
      <c r="A111" s="7">
        <f t="shared" si="29"/>
        <v>87</v>
      </c>
      <c r="B111" s="11">
        <f t="shared" si="30"/>
        <v>21060.469279650741</v>
      </c>
      <c r="C111" s="11">
        <f t="shared" si="31"/>
        <v>38.467781833677414</v>
      </c>
      <c r="D111" s="11">
        <f t="shared" si="32"/>
        <v>0</v>
      </c>
      <c r="E111" s="11">
        <f t="shared" si="26"/>
        <v>-21060.469279650741</v>
      </c>
      <c r="F111" s="11">
        <f t="shared" si="33"/>
        <v>22939.133706550354</v>
      </c>
      <c r="G111" s="11">
        <f t="shared" si="34"/>
        <v>41.736970837432224</v>
      </c>
      <c r="H111" s="11">
        <f t="shared" si="35"/>
        <v>2223.5036866550645</v>
      </c>
      <c r="I111" s="11">
        <f t="shared" si="27"/>
        <v>-20715.630019895289</v>
      </c>
      <c r="J111" s="11">
        <f t="shared" si="36"/>
        <v>21999.801493100556</v>
      </c>
      <c r="K111" s="11">
        <f t="shared" si="37"/>
        <v>40.102376335554837</v>
      </c>
      <c r="L111" s="11">
        <f t="shared" si="38"/>
        <v>1111.7518433275322</v>
      </c>
      <c r="M111" s="11">
        <f t="shared" si="28"/>
        <v>-20888.049649773024</v>
      </c>
    </row>
    <row r="112" spans="1:13" x14ac:dyDescent="0.25">
      <c r="A112" s="7">
        <f t="shared" si="29"/>
        <v>88</v>
      </c>
      <c r="B112" s="11">
        <f t="shared" si="30"/>
        <v>20287.577628953735</v>
      </c>
      <c r="C112" s="11">
        <f t="shared" si="31"/>
        <v>37.108349302993375</v>
      </c>
      <c r="D112" s="11">
        <f t="shared" si="32"/>
        <v>0</v>
      </c>
      <c r="E112" s="11">
        <f t="shared" si="26"/>
        <v>-20287.577628953735</v>
      </c>
      <c r="F112" s="11">
        <f t="shared" si="33"/>
        <v>22189.552244949838</v>
      </c>
      <c r="G112" s="11">
        <f t="shared" si="34"/>
        <v>40.418538399485094</v>
      </c>
      <c r="H112" s="11">
        <f t="shared" si="35"/>
        <v>2255.7271026299504</v>
      </c>
      <c r="I112" s="11">
        <f t="shared" si="27"/>
        <v>-19933.825142319889</v>
      </c>
      <c r="J112" s="11">
        <f t="shared" si="36"/>
        <v>21238.564936951796</v>
      </c>
      <c r="K112" s="11">
        <f t="shared" si="37"/>
        <v>38.763443851239252</v>
      </c>
      <c r="L112" s="11">
        <f t="shared" si="38"/>
        <v>1127.8635513149752</v>
      </c>
      <c r="M112" s="11">
        <f t="shared" si="28"/>
        <v>-20110.701385636821</v>
      </c>
    </row>
    <row r="113" spans="1:13" x14ac:dyDescent="0.25">
      <c r="A113" s="7">
        <f t="shared" si="29"/>
        <v>89</v>
      </c>
      <c r="B113" s="11">
        <f t="shared" si="30"/>
        <v>19513.324150418677</v>
      </c>
      <c r="C113" s="11">
        <f t="shared" si="31"/>
        <v>35.746521464943072</v>
      </c>
      <c r="D113" s="11">
        <f t="shared" si="32"/>
        <v>0</v>
      </c>
      <c r="E113" s="11">
        <f t="shared" si="26"/>
        <v>-19513.324150418677</v>
      </c>
      <c r="F113" s="11">
        <f t="shared" si="33"/>
        <v>21438.65002784579</v>
      </c>
      <c r="G113" s="11">
        <f t="shared" si="34"/>
        <v>39.097782895950488</v>
      </c>
      <c r="H113" s="11">
        <f t="shared" si="35"/>
        <v>2288.1276625511032</v>
      </c>
      <c r="I113" s="11">
        <f t="shared" si="27"/>
        <v>-19150.522365294688</v>
      </c>
      <c r="J113" s="11">
        <f t="shared" si="36"/>
        <v>20475.987089132243</v>
      </c>
      <c r="K113" s="11">
        <f t="shared" si="37"/>
        <v>37.422152180446794</v>
      </c>
      <c r="L113" s="11">
        <f t="shared" si="38"/>
        <v>1144.0638312755516</v>
      </c>
      <c r="M113" s="11">
        <f t="shared" si="28"/>
        <v>-19331.923257856692</v>
      </c>
    </row>
    <row r="114" spans="1:13" x14ac:dyDescent="0.25">
      <c r="A114" s="7">
        <f t="shared" si="29"/>
        <v>90</v>
      </c>
      <c r="B114" s="11">
        <f t="shared" si="30"/>
        <v>18737.706444517695</v>
      </c>
      <c r="C114" s="11">
        <f t="shared" si="31"/>
        <v>34.382294099017393</v>
      </c>
      <c r="D114" s="11">
        <f t="shared" si="32"/>
        <v>0</v>
      </c>
      <c r="E114" s="11">
        <f t="shared" si="26"/>
        <v>-18737.706444517695</v>
      </c>
      <c r="F114" s="11">
        <f t="shared" si="33"/>
        <v>20686.424728079397</v>
      </c>
      <c r="G114" s="11">
        <f t="shared" si="34"/>
        <v>37.774700233608627</v>
      </c>
      <c r="H114" s="11">
        <f t="shared" si="35"/>
        <v>2320.7063402438216</v>
      </c>
      <c r="I114" s="11">
        <f t="shared" si="27"/>
        <v>-18365.718387835575</v>
      </c>
      <c r="J114" s="11">
        <f t="shared" si="36"/>
        <v>19712.065586298555</v>
      </c>
      <c r="K114" s="11">
        <f t="shared" si="37"/>
        <v>36.078497166313028</v>
      </c>
      <c r="L114" s="11">
        <f t="shared" si="38"/>
        <v>1160.3531701219108</v>
      </c>
      <c r="M114" s="11">
        <f t="shared" si="28"/>
        <v>-18551.712416176644</v>
      </c>
    </row>
    <row r="115" spans="1:13" x14ac:dyDescent="0.25">
      <c r="A115" s="7">
        <f t="shared" si="29"/>
        <v>91</v>
      </c>
      <c r="B115" s="11">
        <f t="shared" si="30"/>
        <v>17960.722107494967</v>
      </c>
      <c r="C115" s="11">
        <f t="shared" si="31"/>
        <v>33.015662977270736</v>
      </c>
      <c r="D115" s="11">
        <f t="shared" si="32"/>
        <v>0</v>
      </c>
      <c r="E115" s="11">
        <f t="shared" si="26"/>
        <v>-17960.722107494967</v>
      </c>
      <c r="F115" s="11">
        <f t="shared" si="33"/>
        <v>19932.874014391426</v>
      </c>
      <c r="G115" s="11">
        <f t="shared" si="34"/>
        <v>36.449286312027525</v>
      </c>
      <c r="H115" s="11">
        <f t="shared" si="35"/>
        <v>2353.46411488688</v>
      </c>
      <c r="I115" s="11">
        <f t="shared" si="27"/>
        <v>-17579.409899504546</v>
      </c>
      <c r="J115" s="11">
        <f t="shared" si="36"/>
        <v>18946.798060943205</v>
      </c>
      <c r="K115" s="11">
        <f t="shared" si="37"/>
        <v>34.732474644649152</v>
      </c>
      <c r="L115" s="11">
        <f t="shared" si="38"/>
        <v>1176.73205744344</v>
      </c>
      <c r="M115" s="11">
        <f t="shared" si="28"/>
        <v>-17770.066003499764</v>
      </c>
    </row>
    <row r="116" spans="1:13" x14ac:dyDescent="0.25">
      <c r="A116" s="7">
        <f t="shared" si="29"/>
        <v>92</v>
      </c>
      <c r="B116" s="11">
        <f t="shared" si="30"/>
        <v>17182.368731359275</v>
      </c>
      <c r="C116" s="11">
        <f t="shared" si="31"/>
        <v>31.646623864307898</v>
      </c>
      <c r="D116" s="11">
        <f t="shared" si="32"/>
        <v>0</v>
      </c>
      <c r="E116" s="11">
        <f t="shared" si="26"/>
        <v>-17182.368731359275</v>
      </c>
      <c r="F116" s="11">
        <f t="shared" si="33"/>
        <v>19177.995551414977</v>
      </c>
      <c r="G116" s="11">
        <f t="shared" si="34"/>
        <v>35.121537023550282</v>
      </c>
      <c r="H116" s="11">
        <f t="shared" si="35"/>
        <v>2386.4019710419579</v>
      </c>
      <c r="I116" s="11">
        <f t="shared" si="27"/>
        <v>-16791.593580373017</v>
      </c>
      <c r="J116" s="11">
        <f t="shared" si="36"/>
        <v>18180.182141387133</v>
      </c>
      <c r="K116" s="11">
        <f t="shared" si="37"/>
        <v>33.384080443929108</v>
      </c>
      <c r="L116" s="11">
        <f t="shared" si="38"/>
        <v>1193.200985520979</v>
      </c>
      <c r="M116" s="11">
        <f t="shared" si="28"/>
        <v>-16986.981155866153</v>
      </c>
    </row>
    <row r="117" spans="1:13" x14ac:dyDescent="0.25">
      <c r="A117" s="7">
        <f t="shared" si="29"/>
        <v>93</v>
      </c>
      <c r="B117" s="11">
        <f t="shared" si="30"/>
        <v>16402.643903876546</v>
      </c>
      <c r="C117" s="11">
        <f t="shared" si="31"/>
        <v>30.275172517270942</v>
      </c>
      <c r="D117" s="11">
        <f t="shared" si="32"/>
        <v>0</v>
      </c>
      <c r="E117" s="11">
        <f t="shared" si="26"/>
        <v>-16402.643903876546</v>
      </c>
      <c r="F117" s="11">
        <f t="shared" si="33"/>
        <v>18421.78699966826</v>
      </c>
      <c r="G117" s="11">
        <f t="shared" si="34"/>
        <v>33.791448253282319</v>
      </c>
      <c r="H117" s="11">
        <f t="shared" si="35"/>
        <v>2419.5208986832317</v>
      </c>
      <c r="I117" s="11">
        <f t="shared" si="27"/>
        <v>-16002.266100985029</v>
      </c>
      <c r="J117" s="11">
        <f t="shared" si="36"/>
        <v>17412.215451772408</v>
      </c>
      <c r="K117" s="11">
        <f t="shared" si="37"/>
        <v>32.033310385276643</v>
      </c>
      <c r="L117" s="11">
        <f t="shared" si="38"/>
        <v>1209.7604493416159</v>
      </c>
      <c r="M117" s="11">
        <f t="shared" si="28"/>
        <v>-16202.455002430792</v>
      </c>
    </row>
    <row r="118" spans="1:13" x14ac:dyDescent="0.25">
      <c r="A118" s="7">
        <f t="shared" si="29"/>
        <v>94</v>
      </c>
      <c r="B118" s="11">
        <f t="shared" si="30"/>
        <v>15621.545208562373</v>
      </c>
      <c r="C118" s="11">
        <f t="shared" si="31"/>
        <v>28.901304685826059</v>
      </c>
      <c r="D118" s="11">
        <f t="shared" si="32"/>
        <v>0</v>
      </c>
      <c r="E118" s="11">
        <f t="shared" si="26"/>
        <v>-15621.545208562373</v>
      </c>
      <c r="F118" s="11">
        <f t="shared" si="33"/>
        <v>17664.246015547338</v>
      </c>
      <c r="G118" s="11">
        <f t="shared" si="34"/>
        <v>32.459015879078677</v>
      </c>
      <c r="H118" s="11">
        <f t="shared" si="35"/>
        <v>2452.8218932271293</v>
      </c>
      <c r="I118" s="11">
        <f t="shared" si="27"/>
        <v>-15211.424122320208</v>
      </c>
      <c r="J118" s="11">
        <f t="shared" si="36"/>
        <v>16642.895612054861</v>
      </c>
      <c r="K118" s="11">
        <f t="shared" si="37"/>
        <v>30.68016028245238</v>
      </c>
      <c r="L118" s="11">
        <f t="shared" si="38"/>
        <v>1226.4109466135646</v>
      </c>
      <c r="M118" s="11">
        <f t="shared" si="28"/>
        <v>-15416.484665441296</v>
      </c>
    </row>
    <row r="119" spans="1:13" x14ac:dyDescent="0.25">
      <c r="A119" s="7">
        <f t="shared" si="29"/>
        <v>95</v>
      </c>
      <c r="B119" s="11">
        <f t="shared" si="30"/>
        <v>14839.070224674524</v>
      </c>
      <c r="C119" s="11">
        <f t="shared" si="31"/>
        <v>27.525016112150393</v>
      </c>
      <c r="D119" s="11">
        <f t="shared" si="32"/>
        <v>0</v>
      </c>
      <c r="E119" s="11">
        <f t="shared" si="26"/>
        <v>-14839.070224674524</v>
      </c>
      <c r="F119" s="11">
        <f t="shared" si="33"/>
        <v>16905.370251318869</v>
      </c>
      <c r="G119" s="11">
        <f t="shared" si="34"/>
        <v>31.124235771531204</v>
      </c>
      <c r="H119" s="11">
        <f t="shared" si="35"/>
        <v>2486.3059555622476</v>
      </c>
      <c r="I119" s="11">
        <f t="shared" si="27"/>
        <v>-14419.064295756622</v>
      </c>
      <c r="J119" s="11">
        <f t="shared" si="36"/>
        <v>15872.220237996702</v>
      </c>
      <c r="K119" s="11">
        <f t="shared" si="37"/>
        <v>29.324625941840807</v>
      </c>
      <c r="L119" s="11">
        <f t="shared" si="38"/>
        <v>1243.1529777811238</v>
      </c>
      <c r="M119" s="11">
        <f t="shared" si="28"/>
        <v>-14629.067260215579</v>
      </c>
    </row>
    <row r="120" spans="1:13" x14ac:dyDescent="0.25">
      <c r="A120" s="7">
        <f t="shared" si="29"/>
        <v>96</v>
      </c>
      <c r="B120" s="11">
        <f t="shared" si="30"/>
        <v>14055.216527205443</v>
      </c>
      <c r="C120" s="11">
        <f t="shared" si="31"/>
        <v>26.146302530918838</v>
      </c>
      <c r="D120" s="11">
        <f t="shared" si="32"/>
        <v>0</v>
      </c>
      <c r="E120" s="11">
        <f t="shared" ref="E120:E151" si="39">D120-B120</f>
        <v>-14055.216527205443</v>
      </c>
      <c r="F120" s="11">
        <f t="shared" si="33"/>
        <v>16145.157355112824</v>
      </c>
      <c r="G120" s="11">
        <f t="shared" si="34"/>
        <v>29.787103793955769</v>
      </c>
      <c r="H120" s="11">
        <f t="shared" si="35"/>
        <v>2519.9740920794361</v>
      </c>
      <c r="I120" s="11">
        <f t="shared" ref="I120:I151" si="40">H120-F120</f>
        <v>-13625.183263033388</v>
      </c>
      <c r="J120" s="11">
        <f t="shared" si="36"/>
        <v>15100.18694115914</v>
      </c>
      <c r="K120" s="11">
        <f t="shared" si="37"/>
        <v>27.966703162437312</v>
      </c>
      <c r="L120" s="11">
        <f t="shared" si="38"/>
        <v>1259.9870460397181</v>
      </c>
      <c r="M120" s="11">
        <f t="shared" ref="M120:M151" si="41">L120-J120</f>
        <v>-13840.199895119422</v>
      </c>
    </row>
    <row r="121" spans="1:13" x14ac:dyDescent="0.25">
      <c r="A121" s="7">
        <f t="shared" ref="A121:A152" si="42">A120+1</f>
        <v>97</v>
      </c>
      <c r="B121" s="11">
        <f t="shared" ref="B121:B152" si="43">MAX(0,B120*(1+$B$18)-MIN(B120*(1+$B$18),$B$8+$B$9))</f>
        <v>13269.981686874733</v>
      </c>
      <c r="C121" s="11">
        <f t="shared" ref="C121:C152" si="44">B120*$B$18</f>
        <v>24.765159669290831</v>
      </c>
      <c r="D121" s="11">
        <f t="shared" ref="D121:D152" si="45">D120*(1+$B$19)+MAX(0,($B$8+$B$9)-B120*(1+$B$18))</f>
        <v>0</v>
      </c>
      <c r="E121" s="11">
        <f t="shared" si="39"/>
        <v>-13269.981686874733</v>
      </c>
      <c r="F121" s="11">
        <f t="shared" ref="F121:F152" si="46">MAX(0,F120*(1+$B$18)-MIN(F120*(1+$B$18),$B$8))</f>
        <v>15383.604970915203</v>
      </c>
      <c r="G121" s="11">
        <f t="shared" ref="G121:G152" si="47">F120*$B$18</f>
        <v>28.447615802379449</v>
      </c>
      <c r="H121" s="11">
        <f t="shared" ref="H121:H152" si="48">H120*(1+$B$19)+$B$9+MAX(0,$B$8-F120*(1+$B$18))</f>
        <v>2553.8273147020441</v>
      </c>
      <c r="I121" s="11">
        <f t="shared" si="40"/>
        <v>-12829.777656213158</v>
      </c>
      <c r="J121" s="11">
        <f t="shared" ref="J121:J152" si="49">MAX(0,J120*(1+$B$18)-MIN(J120*(1+$B$18),$B$8+$B$9*$B$14))</f>
        <v>14326.793328894975</v>
      </c>
      <c r="K121" s="11">
        <f t="shared" ref="K121:K152" si="50">J120*$B$18</f>
        <v>26.606387735835149</v>
      </c>
      <c r="L121" s="11">
        <f t="shared" ref="L121:L152" si="51">L120*(1+$B$19)+IF(J120=0,$B$8+$B$9,$B$9*(1-$B$14)+MAX(0,($B$8+$B$9*$B$14)-J120*(1+$B$18)))</f>
        <v>1276.913657351022</v>
      </c>
      <c r="M121" s="11">
        <f t="shared" si="41"/>
        <v>-13049.879671543953</v>
      </c>
    </row>
    <row r="122" spans="1:13" x14ac:dyDescent="0.25">
      <c r="A122" s="7">
        <f t="shared" si="42"/>
        <v>98</v>
      </c>
      <c r="B122" s="11">
        <f t="shared" si="43"/>
        <v>12483.36327012163</v>
      </c>
      <c r="C122" s="11">
        <f t="shared" si="44"/>
        <v>23.381583246897101</v>
      </c>
      <c r="D122" s="11">
        <f t="shared" si="45"/>
        <v>0</v>
      </c>
      <c r="E122" s="11">
        <f t="shared" si="39"/>
        <v>-12483.36327012163</v>
      </c>
      <c r="F122" s="11">
        <f t="shared" si="46"/>
        <v>14620.710738560731</v>
      </c>
      <c r="G122" s="11">
        <f t="shared" si="47"/>
        <v>27.105767645527674</v>
      </c>
      <c r="H122" s="11">
        <f t="shared" si="48"/>
        <v>2587.8666409163347</v>
      </c>
      <c r="I122" s="11">
        <f t="shared" si="40"/>
        <v>-12032.844097644396</v>
      </c>
      <c r="J122" s="11">
        <f t="shared" si="49"/>
        <v>13552.037004341188</v>
      </c>
      <c r="K122" s="11">
        <f t="shared" si="50"/>
        <v>25.2436754462124</v>
      </c>
      <c r="L122" s="11">
        <f t="shared" si="51"/>
        <v>1293.9333204581674</v>
      </c>
      <c r="M122" s="11">
        <f t="shared" si="41"/>
        <v>-12258.10368388302</v>
      </c>
    </row>
    <row r="123" spans="1:13" x14ac:dyDescent="0.25">
      <c r="A123" s="7">
        <f t="shared" si="42"/>
        <v>99</v>
      </c>
      <c r="B123" s="11">
        <f t="shared" si="43"/>
        <v>11695.358839097456</v>
      </c>
      <c r="C123" s="11">
        <f t="shared" si="44"/>
        <v>21.995568975826412</v>
      </c>
      <c r="D123" s="11">
        <f t="shared" si="45"/>
        <v>0</v>
      </c>
      <c r="E123" s="11">
        <f t="shared" si="39"/>
        <v>-11695.358839097456</v>
      </c>
      <c r="F123" s="11">
        <f t="shared" si="46"/>
        <v>13856.472293725541</v>
      </c>
      <c r="G123" s="11">
        <f t="shared" si="47"/>
        <v>25.761555164811373</v>
      </c>
      <c r="H123" s="11">
        <f t="shared" si="48"/>
        <v>2622.0930938020674</v>
      </c>
      <c r="I123" s="11">
        <f t="shared" si="40"/>
        <v>-11234.379199923475</v>
      </c>
      <c r="J123" s="11">
        <f t="shared" si="49"/>
        <v>12775.915566411506</v>
      </c>
      <c r="K123" s="11">
        <f t="shared" si="50"/>
        <v>23.878562070318907</v>
      </c>
      <c r="L123" s="11">
        <f t="shared" si="51"/>
        <v>1311.0465469010337</v>
      </c>
      <c r="M123" s="11">
        <f t="shared" si="41"/>
        <v>-11464.869019510472</v>
      </c>
    </row>
    <row r="124" spans="1:13" x14ac:dyDescent="0.25">
      <c r="A124" s="7">
        <f t="shared" si="42"/>
        <v>100</v>
      </c>
      <c r="B124" s="11">
        <f t="shared" si="43"/>
        <v>10905.965951658069</v>
      </c>
      <c r="C124" s="11">
        <f t="shared" si="44"/>
        <v>20.607112560612265</v>
      </c>
      <c r="D124" s="11">
        <f t="shared" si="45"/>
        <v>0</v>
      </c>
      <c r="E124" s="11">
        <f t="shared" si="39"/>
        <v>-10905.965951658069</v>
      </c>
      <c r="F124" s="11">
        <f t="shared" si="46"/>
        <v>13090.887267919856</v>
      </c>
      <c r="G124" s="11">
        <f t="shared" si="47"/>
        <v>24.414974194314077</v>
      </c>
      <c r="H124" s="11">
        <f t="shared" si="48"/>
        <v>2656.5077020632457</v>
      </c>
      <c r="I124" s="11">
        <f t="shared" si="40"/>
        <v>-10434.37956585661</v>
      </c>
      <c r="J124" s="11">
        <f t="shared" si="49"/>
        <v>11998.426609788969</v>
      </c>
      <c r="K124" s="11">
        <f t="shared" si="50"/>
        <v>22.511043377463182</v>
      </c>
      <c r="L124" s="11">
        <f t="shared" si="51"/>
        <v>1328.2538510316228</v>
      </c>
      <c r="M124" s="11">
        <f t="shared" si="41"/>
        <v>-10670.172758757346</v>
      </c>
    </row>
    <row r="125" spans="1:13" x14ac:dyDescent="0.25">
      <c r="A125" s="7">
        <f t="shared" si="42"/>
        <v>101</v>
      </c>
      <c r="B125" s="11">
        <f t="shared" si="43"/>
        <v>10115.182161356288</v>
      </c>
      <c r="C125" s="11">
        <f t="shared" si="44"/>
        <v>19.216209698219583</v>
      </c>
      <c r="D125" s="11">
        <f t="shared" si="45"/>
        <v>0</v>
      </c>
      <c r="E125" s="11">
        <f t="shared" si="39"/>
        <v>-10115.182161356288</v>
      </c>
      <c r="F125" s="11">
        <f t="shared" si="46"/>
        <v>12323.953288480634</v>
      </c>
      <c r="G125" s="11">
        <f t="shared" si="47"/>
        <v>23.066020560779005</v>
      </c>
      <c r="H125" s="11">
        <f t="shared" si="48"/>
        <v>2691.1115000590366</v>
      </c>
      <c r="I125" s="11">
        <f t="shared" si="40"/>
        <v>-9632.8417884215978</v>
      </c>
      <c r="J125" s="11">
        <f t="shared" si="49"/>
        <v>11219.567724918468</v>
      </c>
      <c r="K125" s="11">
        <f t="shared" si="50"/>
        <v>21.141115129499305</v>
      </c>
      <c r="L125" s="11">
        <f t="shared" si="51"/>
        <v>1345.5557500295183</v>
      </c>
      <c r="M125" s="11">
        <f t="shared" si="41"/>
        <v>-9874.0119748889501</v>
      </c>
    </row>
    <row r="126" spans="1:13" x14ac:dyDescent="0.25">
      <c r="A126" s="7">
        <f t="shared" si="42"/>
        <v>102</v>
      </c>
      <c r="B126" s="11">
        <f t="shared" si="43"/>
        <v>9323.0050174343196</v>
      </c>
      <c r="C126" s="11">
        <f t="shared" si="44"/>
        <v>17.822856078031393</v>
      </c>
      <c r="D126" s="11">
        <f t="shared" si="45"/>
        <v>0</v>
      </c>
      <c r="E126" s="11">
        <f t="shared" si="39"/>
        <v>-9323.0050174343196</v>
      </c>
      <c r="F126" s="11">
        <f t="shared" si="46"/>
        <v>11555.66797856423</v>
      </c>
      <c r="G126" s="11">
        <f t="shared" si="47"/>
        <v>21.714690083596146</v>
      </c>
      <c r="H126" s="11">
        <f t="shared" si="48"/>
        <v>2725.9055278348601</v>
      </c>
      <c r="I126" s="11">
        <f t="shared" si="40"/>
        <v>-8829.7624507293694</v>
      </c>
      <c r="J126" s="11">
        <f t="shared" si="49"/>
        <v>10439.336497999282</v>
      </c>
      <c r="K126" s="11">
        <f t="shared" si="50"/>
        <v>19.768773080813784</v>
      </c>
      <c r="L126" s="11">
        <f t="shared" si="51"/>
        <v>1362.95276391743</v>
      </c>
      <c r="M126" s="11">
        <f t="shared" si="41"/>
        <v>-9076.3837340818518</v>
      </c>
    </row>
    <row r="127" spans="1:13" x14ac:dyDescent="0.25">
      <c r="A127" s="7">
        <f t="shared" si="42"/>
        <v>103</v>
      </c>
      <c r="B127" s="11">
        <f t="shared" si="43"/>
        <v>8529.4320648161556</v>
      </c>
      <c r="C127" s="11">
        <f t="shared" si="44"/>
        <v>16.427047381835447</v>
      </c>
      <c r="D127" s="11">
        <f t="shared" si="45"/>
        <v>0</v>
      </c>
      <c r="E127" s="11">
        <f t="shared" si="39"/>
        <v>-8529.4320648161556</v>
      </c>
      <c r="F127" s="11">
        <f t="shared" si="46"/>
        <v>10786.028957139019</v>
      </c>
      <c r="G127" s="11">
        <f t="shared" si="47"/>
        <v>20.360978574789293</v>
      </c>
      <c r="H127" s="11">
        <f t="shared" si="48"/>
        <v>2760.8908311536466</v>
      </c>
      <c r="I127" s="11">
        <f t="shared" si="40"/>
        <v>-8025.1381259853715</v>
      </c>
      <c r="J127" s="11">
        <f t="shared" si="49"/>
        <v>9657.7305109775953</v>
      </c>
      <c r="K127" s="11">
        <f t="shared" si="50"/>
        <v>18.394012978312382</v>
      </c>
      <c r="L127" s="11">
        <f t="shared" si="51"/>
        <v>1380.4454155768233</v>
      </c>
      <c r="M127" s="11">
        <f t="shared" si="41"/>
        <v>-8277.2850954007718</v>
      </c>
    </row>
    <row r="128" spans="1:13" x14ac:dyDescent="0.25">
      <c r="A128" s="7">
        <f t="shared" si="42"/>
        <v>104</v>
      </c>
      <c r="B128" s="11">
        <f t="shared" si="43"/>
        <v>7734.4608440999673</v>
      </c>
      <c r="C128" s="11">
        <f t="shared" si="44"/>
        <v>15.028779283810852</v>
      </c>
      <c r="D128" s="11">
        <f t="shared" si="45"/>
        <v>0</v>
      </c>
      <c r="E128" s="11">
        <f t="shared" si="39"/>
        <v>-7734.4608440999673</v>
      </c>
      <c r="F128" s="11">
        <f t="shared" si="46"/>
        <v>10015.033838978021</v>
      </c>
      <c r="G128" s="11">
        <f t="shared" si="47"/>
        <v>19.004881839003051</v>
      </c>
      <c r="H128" s="11">
        <f t="shared" si="48"/>
        <v>2796.0684615272698</v>
      </c>
      <c r="I128" s="11">
        <f t="shared" si="40"/>
        <v>-7218.9653774507515</v>
      </c>
      <c r="J128" s="11">
        <f t="shared" si="49"/>
        <v>8874.7473415390014</v>
      </c>
      <c r="K128" s="11">
        <f t="shared" si="50"/>
        <v>17.016830561406966</v>
      </c>
      <c r="L128" s="11">
        <f t="shared" si="51"/>
        <v>1398.0342307636349</v>
      </c>
      <c r="M128" s="11">
        <f t="shared" si="41"/>
        <v>-7476.7131107753667</v>
      </c>
    </row>
    <row r="129" spans="1:13" x14ac:dyDescent="0.25">
      <c r="A129" s="7">
        <f t="shared" si="42"/>
        <v>105</v>
      </c>
      <c r="B129" s="11">
        <f t="shared" si="43"/>
        <v>6938.088891550482</v>
      </c>
      <c r="C129" s="11">
        <f t="shared" si="44"/>
        <v>13.628047450514659</v>
      </c>
      <c r="D129" s="11">
        <f t="shared" si="45"/>
        <v>0</v>
      </c>
      <c r="E129" s="11">
        <f t="shared" si="39"/>
        <v>-6938.088891550482</v>
      </c>
      <c r="F129" s="11">
        <f t="shared" si="46"/>
        <v>9242.6802346515105</v>
      </c>
      <c r="G129" s="11">
        <f t="shared" si="47"/>
        <v>17.646395673489867</v>
      </c>
      <c r="H129" s="11">
        <f t="shared" si="48"/>
        <v>2831.4394762481502</v>
      </c>
      <c r="I129" s="11">
        <f t="shared" si="40"/>
        <v>-6411.2407584033608</v>
      </c>
      <c r="J129" s="11">
        <f t="shared" si="49"/>
        <v>8090.3845631010045</v>
      </c>
      <c r="K129" s="11">
        <f t="shared" si="50"/>
        <v>15.637221562002276</v>
      </c>
      <c r="L129" s="11">
        <f t="shared" si="51"/>
        <v>1415.7197381240751</v>
      </c>
      <c r="M129" s="11">
        <f t="shared" si="41"/>
        <v>-6674.6648249769296</v>
      </c>
    </row>
    <row r="130" spans="1:13" x14ac:dyDescent="0.25">
      <c r="A130" s="7">
        <f t="shared" si="42"/>
        <v>106</v>
      </c>
      <c r="B130" s="11">
        <f t="shared" si="43"/>
        <v>6140.3137390913507</v>
      </c>
      <c r="C130" s="11">
        <f t="shared" si="44"/>
        <v>12.224847540868426</v>
      </c>
      <c r="D130" s="11">
        <f t="shared" si="45"/>
        <v>0</v>
      </c>
      <c r="E130" s="11">
        <f t="shared" si="39"/>
        <v>-6140.3137390913507</v>
      </c>
      <c r="F130" s="11">
        <f t="shared" si="46"/>
        <v>8468.9657505196083</v>
      </c>
      <c r="G130" s="11">
        <f t="shared" si="47"/>
        <v>16.285515868096976</v>
      </c>
      <c r="H130" s="11">
        <f t="shared" si="48"/>
        <v>2867.0049384210329</v>
      </c>
      <c r="I130" s="11">
        <f t="shared" si="40"/>
        <v>-5601.9608120985758</v>
      </c>
      <c r="J130" s="11">
        <f t="shared" si="49"/>
        <v>7304.6397448054868</v>
      </c>
      <c r="K130" s="11">
        <f t="shared" si="50"/>
        <v>14.255181704482716</v>
      </c>
      <c r="L130" s="11">
        <f t="shared" si="51"/>
        <v>1433.5024692105164</v>
      </c>
      <c r="M130" s="11">
        <f t="shared" si="41"/>
        <v>-5871.1372755949706</v>
      </c>
    </row>
    <row r="131" spans="1:13" x14ac:dyDescent="0.25">
      <c r="A131" s="7">
        <f t="shared" si="42"/>
        <v>107</v>
      </c>
      <c r="B131" s="11">
        <f t="shared" si="43"/>
        <v>5341.1329142974955</v>
      </c>
      <c r="C131" s="11">
        <f t="shared" si="44"/>
        <v>10.819175206144783</v>
      </c>
      <c r="D131" s="11">
        <f t="shared" si="45"/>
        <v>0</v>
      </c>
      <c r="E131" s="11">
        <f t="shared" si="39"/>
        <v>-5341.1329142974955</v>
      </c>
      <c r="F131" s="11">
        <f t="shared" si="46"/>
        <v>7693.8879887248622</v>
      </c>
      <c r="G131" s="11">
        <f t="shared" si="47"/>
        <v>14.922238205253363</v>
      </c>
      <c r="H131" s="11">
        <f t="shared" si="48"/>
        <v>2902.7659169949393</v>
      </c>
      <c r="I131" s="11">
        <f t="shared" si="40"/>
        <v>-4791.1220717299229</v>
      </c>
      <c r="J131" s="11">
        <f t="shared" si="49"/>
        <v>6517.5104515111861</v>
      </c>
      <c r="K131" s="11">
        <f t="shared" si="50"/>
        <v>12.870706705699085</v>
      </c>
      <c r="L131" s="11">
        <f t="shared" si="51"/>
        <v>1451.3829584974696</v>
      </c>
      <c r="M131" s="11">
        <f t="shared" si="41"/>
        <v>-5066.127493013717</v>
      </c>
    </row>
    <row r="132" spans="1:13" x14ac:dyDescent="0.25">
      <c r="A132" s="7">
        <f t="shared" si="42"/>
        <v>108</v>
      </c>
      <c r="B132" s="11">
        <f t="shared" si="43"/>
        <v>4540.5439403874498</v>
      </c>
      <c r="C132" s="11">
        <f t="shared" si="44"/>
        <v>9.4110260899539337</v>
      </c>
      <c r="D132" s="11">
        <f t="shared" si="45"/>
        <v>0</v>
      </c>
      <c r="E132" s="11">
        <f t="shared" si="39"/>
        <v>-4540.5439403874498</v>
      </c>
      <c r="F132" s="11">
        <f t="shared" si="46"/>
        <v>6917.4445471848185</v>
      </c>
      <c r="G132" s="11">
        <f t="shared" si="47"/>
        <v>13.556558459956696</v>
      </c>
      <c r="H132" s="11">
        <f t="shared" si="48"/>
        <v>2938.7234867952966</v>
      </c>
      <c r="I132" s="11">
        <f t="shared" si="40"/>
        <v>-3978.7210603895219</v>
      </c>
      <c r="J132" s="11">
        <f t="shared" si="49"/>
        <v>5728.9942437861419</v>
      </c>
      <c r="K132" s="11">
        <f t="shared" si="50"/>
        <v>11.483792274955327</v>
      </c>
      <c r="L132" s="11">
        <f t="shared" si="51"/>
        <v>1469.3617433976483</v>
      </c>
      <c r="M132" s="11">
        <f t="shared" si="41"/>
        <v>-4259.632500388494</v>
      </c>
    </row>
    <row r="133" spans="1:13" x14ac:dyDescent="0.25">
      <c r="A133" s="7">
        <f t="shared" si="42"/>
        <v>109</v>
      </c>
      <c r="B133" s="11">
        <f t="shared" si="43"/>
        <v>3738.5443362156802</v>
      </c>
      <c r="C133" s="11">
        <f t="shared" si="44"/>
        <v>8.0003958282301681</v>
      </c>
      <c r="D133" s="11">
        <f t="shared" si="45"/>
        <v>0</v>
      </c>
      <c r="E133" s="11">
        <f t="shared" si="39"/>
        <v>-3738.5443362156802</v>
      </c>
      <c r="F133" s="11">
        <f t="shared" si="46"/>
        <v>6139.6330195845785</v>
      </c>
      <c r="G133" s="11">
        <f t="shared" si="47"/>
        <v>12.18847239976022</v>
      </c>
      <c r="H133" s="11">
        <f t="shared" si="48"/>
        <v>2974.8787285562421</v>
      </c>
      <c r="I133" s="11">
        <f t="shared" si="40"/>
        <v>-3164.7542910283364</v>
      </c>
      <c r="J133" s="11">
        <f t="shared" si="49"/>
        <v>4939.0886779001366</v>
      </c>
      <c r="K133" s="11">
        <f t="shared" si="50"/>
        <v>10.094434113995208</v>
      </c>
      <c r="L133" s="11">
        <f t="shared" si="51"/>
        <v>1487.439364278121</v>
      </c>
      <c r="M133" s="11">
        <f t="shared" si="41"/>
        <v>-3451.6493136220156</v>
      </c>
    </row>
    <row r="134" spans="1:13" x14ac:dyDescent="0.25">
      <c r="A134" s="7">
        <f t="shared" si="42"/>
        <v>110</v>
      </c>
      <c r="B134" s="11">
        <f t="shared" si="43"/>
        <v>2935.1316162648986</v>
      </c>
      <c r="C134" s="11">
        <f t="shared" si="44"/>
        <v>6.587280049218335</v>
      </c>
      <c r="D134" s="11">
        <f t="shared" si="45"/>
        <v>0</v>
      </c>
      <c r="E134" s="11">
        <f t="shared" si="39"/>
        <v>-2935.1316162648986</v>
      </c>
      <c r="F134" s="11">
        <f t="shared" si="46"/>
        <v>5360.4509953693378</v>
      </c>
      <c r="G134" s="11">
        <f t="shared" si="47"/>
        <v>10.817975784759664</v>
      </c>
      <c r="H134" s="11">
        <f t="shared" si="48"/>
        <v>3011.2327289531049</v>
      </c>
      <c r="I134" s="11">
        <f t="shared" si="40"/>
        <v>-2349.2182664162328</v>
      </c>
      <c r="J134" s="11">
        <f t="shared" si="49"/>
        <v>4147.7913058171252</v>
      </c>
      <c r="K134" s="11">
        <f t="shared" si="50"/>
        <v>8.7026279169890124</v>
      </c>
      <c r="L134" s="11">
        <f t="shared" si="51"/>
        <v>1505.6163644765525</v>
      </c>
      <c r="M134" s="11">
        <f t="shared" si="41"/>
        <v>-2642.1749413405728</v>
      </c>
    </row>
    <row r="135" spans="1:13" x14ac:dyDescent="0.25">
      <c r="A135" s="7">
        <f t="shared" si="42"/>
        <v>111</v>
      </c>
      <c r="B135" s="11">
        <f t="shared" si="43"/>
        <v>2130.3032906383587</v>
      </c>
      <c r="C135" s="11">
        <f t="shared" si="44"/>
        <v>5.171674373460287</v>
      </c>
      <c r="D135" s="11">
        <f t="shared" si="45"/>
        <v>0</v>
      </c>
      <c r="E135" s="11">
        <f t="shared" si="39"/>
        <v>-2130.3032906383587</v>
      </c>
      <c r="F135" s="11">
        <f t="shared" si="46"/>
        <v>4579.8960597369178</v>
      </c>
      <c r="G135" s="11">
        <f t="shared" si="47"/>
        <v>9.4450643675800698</v>
      </c>
      <c r="H135" s="11">
        <f t="shared" si="48"/>
        <v>3047.7865806350674</v>
      </c>
      <c r="I135" s="11">
        <f t="shared" si="40"/>
        <v>-1532.1094791018504</v>
      </c>
      <c r="J135" s="11">
        <f t="shared" si="49"/>
        <v>3355.0996751876455</v>
      </c>
      <c r="K135" s="11">
        <f t="shared" si="50"/>
        <v>7.3083693705201904</v>
      </c>
      <c r="L135" s="11">
        <f t="shared" si="51"/>
        <v>1523.8932903175337</v>
      </c>
      <c r="M135" s="11">
        <f t="shared" si="41"/>
        <v>-1831.2063848701118</v>
      </c>
    </row>
    <row r="136" spans="1:13" x14ac:dyDescent="0.25">
      <c r="A136" s="7">
        <f t="shared" si="42"/>
        <v>112</v>
      </c>
      <c r="B136" s="11">
        <f t="shared" si="43"/>
        <v>1324.05686505214</v>
      </c>
      <c r="C136" s="11">
        <f t="shared" si="44"/>
        <v>3.7535744137813154</v>
      </c>
      <c r="D136" s="11">
        <f t="shared" si="45"/>
        <v>0</v>
      </c>
      <c r="E136" s="11">
        <f t="shared" si="39"/>
        <v>-1324.05686505214</v>
      </c>
      <c r="F136" s="11">
        <f t="shared" si="46"/>
        <v>3797.9657936302801</v>
      </c>
      <c r="G136" s="11">
        <f t="shared" si="47"/>
        <v>8.0697338933626543</v>
      </c>
      <c r="H136" s="11">
        <f t="shared" si="48"/>
        <v>3084.5413822580058</v>
      </c>
      <c r="I136" s="11">
        <f t="shared" si="40"/>
        <v>-713.42441137227434</v>
      </c>
      <c r="J136" s="11">
        <f t="shared" si="49"/>
        <v>2561.0113293412173</v>
      </c>
      <c r="K136" s="11">
        <f t="shared" si="50"/>
        <v>5.9116541535719982</v>
      </c>
      <c r="L136" s="11">
        <f t="shared" si="51"/>
        <v>1542.2706911290029</v>
      </c>
      <c r="M136" s="11">
        <f t="shared" si="41"/>
        <v>-1018.7406382122144</v>
      </c>
    </row>
    <row r="137" spans="1:13" x14ac:dyDescent="0.25">
      <c r="A137" s="7">
        <f t="shared" si="42"/>
        <v>113</v>
      </c>
      <c r="B137" s="11">
        <f t="shared" si="43"/>
        <v>516.38984082741649</v>
      </c>
      <c r="C137" s="11">
        <f t="shared" si="44"/>
        <v>2.3329757752765508</v>
      </c>
      <c r="D137" s="11">
        <f t="shared" si="45"/>
        <v>0</v>
      </c>
      <c r="E137" s="11">
        <f t="shared" si="39"/>
        <v>-516.38984082741649</v>
      </c>
      <c r="F137" s="11">
        <f t="shared" si="46"/>
        <v>3014.6577737300317</v>
      </c>
      <c r="G137" s="11">
        <f t="shared" si="47"/>
        <v>6.6919800997516097</v>
      </c>
      <c r="H137" s="11">
        <f t="shared" si="48"/>
        <v>3121.4982385175108</v>
      </c>
      <c r="I137" s="11">
        <f t="shared" si="40"/>
        <v>106.84046478747905</v>
      </c>
      <c r="J137" s="11">
        <f t="shared" si="49"/>
        <v>1765.5238072787315</v>
      </c>
      <c r="K137" s="11">
        <f t="shared" si="50"/>
        <v>4.5124779375140935</v>
      </c>
      <c r="L137" s="11">
        <f t="shared" si="51"/>
        <v>1560.7491192587554</v>
      </c>
      <c r="M137" s="11">
        <f t="shared" si="41"/>
        <v>-204.77468801997611</v>
      </c>
    </row>
    <row r="138" spans="1:13" x14ac:dyDescent="0.25">
      <c r="A138" s="7">
        <f t="shared" si="42"/>
        <v>114</v>
      </c>
      <c r="B138" s="11">
        <f t="shared" si="43"/>
        <v>0</v>
      </c>
      <c r="C138" s="11">
        <f t="shared" si="44"/>
        <v>0.90987405529734244</v>
      </c>
      <c r="D138" s="11">
        <f t="shared" si="45"/>
        <v>292.70028511728617</v>
      </c>
      <c r="E138" s="11">
        <f t="shared" si="39"/>
        <v>292.70028511728617</v>
      </c>
      <c r="F138" s="11">
        <f t="shared" si="46"/>
        <v>2229.9695724469125</v>
      </c>
      <c r="G138" s="11">
        <f t="shared" si="47"/>
        <v>5.3117987168808982</v>
      </c>
      <c r="H138" s="11">
        <f t="shared" si="48"/>
        <v>3158.6582601820901</v>
      </c>
      <c r="I138" s="11">
        <f t="shared" si="40"/>
        <v>928.68868773517761</v>
      </c>
      <c r="J138" s="11">
        <f t="shared" si="49"/>
        <v>968.63464366482071</v>
      </c>
      <c r="K138" s="11">
        <f t="shared" si="50"/>
        <v>3.1108363860891335</v>
      </c>
      <c r="L138" s="11">
        <f t="shared" si="51"/>
        <v>1579.329130091045</v>
      </c>
      <c r="M138" s="11">
        <f t="shared" si="41"/>
        <v>610.69448642622433</v>
      </c>
    </row>
    <row r="139" spans="1:13" x14ac:dyDescent="0.25">
      <c r="A139" s="7">
        <f t="shared" si="42"/>
        <v>115</v>
      </c>
      <c r="B139" s="11">
        <f t="shared" si="43"/>
        <v>0</v>
      </c>
      <c r="C139" s="11">
        <f t="shared" si="44"/>
        <v>0</v>
      </c>
      <c r="D139" s="11">
        <f t="shared" si="45"/>
        <v>1104.309366029735</v>
      </c>
      <c r="E139" s="11">
        <f t="shared" si="39"/>
        <v>1104.309366029735</v>
      </c>
      <c r="F139" s="11">
        <f t="shared" si="46"/>
        <v>1443.8987579142736</v>
      </c>
      <c r="G139" s="11">
        <f t="shared" si="47"/>
        <v>3.929185467361016</v>
      </c>
      <c r="H139" s="11">
        <f t="shared" si="48"/>
        <v>3196.0225641265542</v>
      </c>
      <c r="I139" s="11">
        <f t="shared" si="40"/>
        <v>1752.1238062122807</v>
      </c>
      <c r="J139" s="11">
        <f t="shared" si="49"/>
        <v>170.34136882022005</v>
      </c>
      <c r="K139" s="11">
        <f t="shared" si="50"/>
        <v>1.7067251553993281</v>
      </c>
      <c r="L139" s="11">
        <f t="shared" si="51"/>
        <v>1598.0112820632771</v>
      </c>
      <c r="M139" s="11">
        <f t="shared" si="41"/>
        <v>1427.6699132430572</v>
      </c>
    </row>
    <row r="140" spans="1:13" x14ac:dyDescent="0.25">
      <c r="A140" s="7">
        <f t="shared" si="42"/>
        <v>116</v>
      </c>
      <c r="B140" s="11">
        <f t="shared" si="43"/>
        <v>0</v>
      </c>
      <c r="C140" s="11">
        <f t="shared" si="44"/>
        <v>0</v>
      </c>
      <c r="D140" s="11">
        <f t="shared" si="45"/>
        <v>1920.3801599874687</v>
      </c>
      <c r="E140" s="11">
        <f t="shared" si="39"/>
        <v>1920.3801599874687</v>
      </c>
      <c r="F140" s="11">
        <f t="shared" si="46"/>
        <v>656.44289398053934</v>
      </c>
      <c r="G140" s="11">
        <f t="shared" si="47"/>
        <v>2.5441360662657417</v>
      </c>
      <c r="H140" s="11">
        <f t="shared" si="48"/>
        <v>3233.5922733655839</v>
      </c>
      <c r="I140" s="11">
        <f t="shared" si="40"/>
        <v>2577.1493793850445</v>
      </c>
      <c r="J140" s="11">
        <f t="shared" si="49"/>
        <v>0</v>
      </c>
      <c r="K140" s="11">
        <f t="shared" si="50"/>
        <v>0.30013989389298057</v>
      </c>
      <c r="L140" s="11">
        <f t="shared" si="51"/>
        <v>2246.1546279686791</v>
      </c>
      <c r="M140" s="11">
        <f t="shared" si="41"/>
        <v>2246.1546279686791</v>
      </c>
    </row>
    <row r="141" spans="1:13" x14ac:dyDescent="0.25">
      <c r="A141" s="7">
        <f t="shared" si="42"/>
        <v>117</v>
      </c>
      <c r="B141" s="11">
        <f t="shared" si="43"/>
        <v>0</v>
      </c>
      <c r="C141" s="11">
        <f t="shared" si="44"/>
        <v>0</v>
      </c>
      <c r="D141" s="11">
        <f t="shared" si="45"/>
        <v>2740.9371946649139</v>
      </c>
      <c r="E141" s="11">
        <f t="shared" si="39"/>
        <v>2740.9371946649139</v>
      </c>
      <c r="F141" s="11">
        <f t="shared" si="46"/>
        <v>0</v>
      </c>
      <c r="G141" s="11">
        <f t="shared" si="47"/>
        <v>1.156646221118852</v>
      </c>
      <c r="H141" s="11">
        <f t="shared" si="48"/>
        <v>3403.7689768858259</v>
      </c>
      <c r="I141" s="11">
        <f t="shared" si="40"/>
        <v>3403.7689768858259</v>
      </c>
      <c r="J141" s="11">
        <f t="shared" si="49"/>
        <v>0</v>
      </c>
      <c r="K141" s="11">
        <f t="shared" si="50"/>
        <v>0</v>
      </c>
      <c r="L141" s="11">
        <f t="shared" si="51"/>
        <v>3068.5025644827306</v>
      </c>
      <c r="M141" s="11">
        <f t="shared" si="41"/>
        <v>3068.5025644827306</v>
      </c>
    </row>
    <row r="142" spans="1:13" x14ac:dyDescent="0.25">
      <c r="A142" s="7">
        <f t="shared" si="42"/>
        <v>118</v>
      </c>
      <c r="B142" s="11">
        <f t="shared" si="43"/>
        <v>0</v>
      </c>
      <c r="C142" s="11">
        <f t="shared" si="44"/>
        <v>0</v>
      </c>
      <c r="D142" s="11">
        <f t="shared" si="45"/>
        <v>3566.0051325741274</v>
      </c>
      <c r="E142" s="11">
        <f t="shared" si="39"/>
        <v>3566.0051325741274</v>
      </c>
      <c r="F142" s="11">
        <f t="shared" si="46"/>
        <v>0</v>
      </c>
      <c r="G142" s="11">
        <f t="shared" si="47"/>
        <v>0</v>
      </c>
      <c r="H142" s="11">
        <f t="shared" si="48"/>
        <v>4232.4807444158705</v>
      </c>
      <c r="I142" s="11">
        <f t="shared" si="40"/>
        <v>4232.4807444158705</v>
      </c>
      <c r="J142" s="11">
        <f t="shared" si="49"/>
        <v>0</v>
      </c>
      <c r="K142" s="11">
        <f t="shared" si="50"/>
        <v>0</v>
      </c>
      <c r="L142" s="11">
        <f t="shared" si="51"/>
        <v>3895.371249473355</v>
      </c>
      <c r="M142" s="11">
        <f t="shared" si="41"/>
        <v>3895.371249473355</v>
      </c>
    </row>
    <row r="143" spans="1:13" x14ac:dyDescent="0.25">
      <c r="A143" s="7">
        <f t="shared" si="42"/>
        <v>119</v>
      </c>
      <c r="B143" s="11">
        <f t="shared" si="43"/>
        <v>0</v>
      </c>
      <c r="C143" s="11">
        <f t="shared" si="44"/>
        <v>0</v>
      </c>
      <c r="D143" s="11">
        <f t="shared" si="45"/>
        <v>4395.608771806048</v>
      </c>
      <c r="E143" s="11">
        <f t="shared" si="39"/>
        <v>4395.608771806048</v>
      </c>
      <c r="F143" s="11">
        <f t="shared" si="46"/>
        <v>0</v>
      </c>
      <c r="G143" s="11">
        <f t="shared" si="47"/>
        <v>0</v>
      </c>
      <c r="H143" s="11">
        <f t="shared" si="48"/>
        <v>5065.7482447376342</v>
      </c>
      <c r="I143" s="11">
        <f t="shared" si="40"/>
        <v>5065.7482447376342</v>
      </c>
      <c r="J143" s="11">
        <f t="shared" si="49"/>
        <v>0</v>
      </c>
      <c r="K143" s="11">
        <f t="shared" si="50"/>
        <v>0</v>
      </c>
      <c r="L143" s="11">
        <f t="shared" si="51"/>
        <v>4726.7855351544158</v>
      </c>
      <c r="M143" s="11">
        <f t="shared" si="41"/>
        <v>4726.7855351544158</v>
      </c>
    </row>
    <row r="144" spans="1:13" x14ac:dyDescent="0.25">
      <c r="A144" s="7">
        <f t="shared" si="42"/>
        <v>120</v>
      </c>
      <c r="B144" s="11">
        <f t="shared" si="43"/>
        <v>0</v>
      </c>
      <c r="C144" s="11">
        <f t="shared" si="44"/>
        <v>0</v>
      </c>
      <c r="D144" s="11">
        <f t="shared" si="45"/>
        <v>5229.7730467758238</v>
      </c>
      <c r="E144" s="11">
        <f t="shared" si="39"/>
        <v>5229.7730467758238</v>
      </c>
      <c r="F144" s="11">
        <f t="shared" si="46"/>
        <v>0</v>
      </c>
      <c r="G144" s="11">
        <f t="shared" si="47"/>
        <v>0</v>
      </c>
      <c r="H144" s="11">
        <f t="shared" si="48"/>
        <v>5903.5965223866033</v>
      </c>
      <c r="I144" s="11">
        <f t="shared" si="40"/>
        <v>5903.5965223866033</v>
      </c>
      <c r="J144" s="11">
        <f t="shared" si="49"/>
        <v>0</v>
      </c>
      <c r="K144" s="11">
        <f t="shared" si="50"/>
        <v>0</v>
      </c>
      <c r="L144" s="11">
        <f t="shared" si="51"/>
        <v>5562.7704103615188</v>
      </c>
      <c r="M144" s="11">
        <f t="shared" si="41"/>
        <v>5562.7704103615188</v>
      </c>
    </row>
    <row r="145" spans="1:13" x14ac:dyDescent="0.25">
      <c r="A145" s="7">
        <f t="shared" si="42"/>
        <v>121</v>
      </c>
      <c r="B145" s="11">
        <f t="shared" si="43"/>
        <v>0</v>
      </c>
      <c r="C145" s="11">
        <f t="shared" si="44"/>
        <v>0</v>
      </c>
      <c r="D145" s="11">
        <f t="shared" si="45"/>
        <v>6068.5230289722349</v>
      </c>
      <c r="E145" s="11">
        <f t="shared" si="39"/>
        <v>6068.5230289722349</v>
      </c>
      <c r="F145" s="11">
        <f t="shared" si="46"/>
        <v>0</v>
      </c>
      <c r="G145" s="11">
        <f t="shared" si="47"/>
        <v>0</v>
      </c>
      <c r="H145" s="11">
        <f t="shared" si="48"/>
        <v>6746.0507595772679</v>
      </c>
      <c r="I145" s="11">
        <f t="shared" si="40"/>
        <v>6746.0507595772679</v>
      </c>
      <c r="J145" s="11">
        <f t="shared" si="49"/>
        <v>0</v>
      </c>
      <c r="K145" s="11">
        <f t="shared" si="50"/>
        <v>0</v>
      </c>
      <c r="L145" s="11">
        <f t="shared" si="51"/>
        <v>6403.3510013030727</v>
      </c>
      <c r="M145" s="11">
        <f t="shared" si="41"/>
        <v>6403.3510013030727</v>
      </c>
    </row>
    <row r="146" spans="1:13" x14ac:dyDescent="0.25">
      <c r="A146" s="7">
        <f t="shared" si="42"/>
        <v>122</v>
      </c>
      <c r="B146" s="11">
        <f t="shared" si="43"/>
        <v>0</v>
      </c>
      <c r="C146" s="11">
        <f t="shared" si="44"/>
        <v>0</v>
      </c>
      <c r="D146" s="11">
        <f t="shared" si="45"/>
        <v>6911.8839277112393</v>
      </c>
      <c r="E146" s="11">
        <f t="shared" si="39"/>
        <v>6911.8839277112393</v>
      </c>
      <c r="F146" s="11">
        <f t="shared" si="46"/>
        <v>0</v>
      </c>
      <c r="G146" s="11">
        <f t="shared" si="47"/>
        <v>0</v>
      </c>
      <c r="H146" s="11">
        <f t="shared" si="48"/>
        <v>7593.1362769599964</v>
      </c>
      <c r="I146" s="11">
        <f t="shared" si="40"/>
        <v>7593.1362769599964</v>
      </c>
      <c r="J146" s="11">
        <f t="shared" si="49"/>
        <v>0</v>
      </c>
      <c r="K146" s="11">
        <f t="shared" si="50"/>
        <v>0</v>
      </c>
      <c r="L146" s="11">
        <f t="shared" si="51"/>
        <v>7248.552572315476</v>
      </c>
      <c r="M146" s="11">
        <f t="shared" si="41"/>
        <v>7248.552572315476</v>
      </c>
    </row>
    <row r="147" spans="1:13" x14ac:dyDescent="0.25">
      <c r="A147" s="7">
        <f t="shared" si="42"/>
        <v>123</v>
      </c>
      <c r="B147" s="11">
        <f t="shared" si="43"/>
        <v>0</v>
      </c>
      <c r="C147" s="11">
        <f t="shared" si="44"/>
        <v>0</v>
      </c>
      <c r="D147" s="11">
        <f t="shared" si="45"/>
        <v>7759.8810908936584</v>
      </c>
      <c r="E147" s="11">
        <f t="shared" si="39"/>
        <v>7759.8810908936584</v>
      </c>
      <c r="F147" s="11">
        <f t="shared" si="46"/>
        <v>0</v>
      </c>
      <c r="G147" s="11">
        <f t="shared" si="47"/>
        <v>0</v>
      </c>
      <c r="H147" s="11">
        <f t="shared" si="48"/>
        <v>8444.8785343820673</v>
      </c>
      <c r="I147" s="11">
        <f t="shared" si="40"/>
        <v>8444.8785343820673</v>
      </c>
      <c r="J147" s="11">
        <f t="shared" si="49"/>
        <v>0</v>
      </c>
      <c r="K147" s="11">
        <f t="shared" si="50"/>
        <v>0</v>
      </c>
      <c r="L147" s="11">
        <f t="shared" si="51"/>
        <v>8098.4005266224594</v>
      </c>
      <c r="M147" s="11">
        <f t="shared" si="41"/>
        <v>8098.4005266224594</v>
      </c>
    </row>
    <row r="148" spans="1:13" x14ac:dyDescent="0.25">
      <c r="A148" s="7">
        <f t="shared" si="42"/>
        <v>124</v>
      </c>
      <c r="B148" s="11">
        <f t="shared" si="43"/>
        <v>0</v>
      </c>
      <c r="C148" s="11">
        <f t="shared" si="44"/>
        <v>0</v>
      </c>
      <c r="D148" s="11">
        <f t="shared" si="45"/>
        <v>8612.5400057670304</v>
      </c>
      <c r="E148" s="11">
        <f t="shared" si="39"/>
        <v>8612.5400057670304</v>
      </c>
      <c r="F148" s="11">
        <f t="shared" si="46"/>
        <v>0</v>
      </c>
      <c r="G148" s="11">
        <f t="shared" si="47"/>
        <v>0</v>
      </c>
      <c r="H148" s="11">
        <f t="shared" si="48"/>
        <v>9301.3031316528832</v>
      </c>
      <c r="I148" s="11">
        <f t="shared" si="40"/>
        <v>9301.3031316528832</v>
      </c>
      <c r="J148" s="11">
        <f t="shared" si="49"/>
        <v>0</v>
      </c>
      <c r="K148" s="11">
        <f t="shared" si="50"/>
        <v>0</v>
      </c>
      <c r="L148" s="11">
        <f t="shared" si="51"/>
        <v>8952.9204070985998</v>
      </c>
      <c r="M148" s="11">
        <f t="shared" si="41"/>
        <v>8952.9204070985998</v>
      </c>
    </row>
    <row r="149" spans="1:13" x14ac:dyDescent="0.25">
      <c r="A149" s="7">
        <f t="shared" si="42"/>
        <v>125</v>
      </c>
      <c r="B149" s="11">
        <f t="shared" si="43"/>
        <v>0</v>
      </c>
      <c r="C149" s="11">
        <f t="shared" si="44"/>
        <v>0</v>
      </c>
      <c r="D149" s="11">
        <f t="shared" si="45"/>
        <v>9469.886299691645</v>
      </c>
      <c r="E149" s="11">
        <f t="shared" si="39"/>
        <v>9469.886299691645</v>
      </c>
      <c r="F149" s="11">
        <f t="shared" si="46"/>
        <v>0</v>
      </c>
      <c r="G149" s="11">
        <f t="shared" si="47"/>
        <v>0</v>
      </c>
      <c r="H149" s="11">
        <f t="shared" si="48"/>
        <v>10162.4358093134</v>
      </c>
      <c r="I149" s="11">
        <f t="shared" si="40"/>
        <v>10162.4358093134</v>
      </c>
      <c r="J149" s="11">
        <f t="shared" si="49"/>
        <v>0</v>
      </c>
      <c r="K149" s="11">
        <f t="shared" si="50"/>
        <v>0</v>
      </c>
      <c r="L149" s="11">
        <f t="shared" si="51"/>
        <v>9812.1378970370315</v>
      </c>
      <c r="M149" s="11">
        <f t="shared" si="41"/>
        <v>9812.1378970370315</v>
      </c>
    </row>
    <row r="150" spans="1:13" x14ac:dyDescent="0.25">
      <c r="A150" s="7">
        <f t="shared" si="42"/>
        <v>126</v>
      </c>
      <c r="B150" s="11">
        <f t="shared" si="43"/>
        <v>0</v>
      </c>
      <c r="C150" s="11">
        <f t="shared" si="44"/>
        <v>0</v>
      </c>
      <c r="D150" s="11">
        <f t="shared" si="45"/>
        <v>10331.945740910805</v>
      </c>
      <c r="E150" s="11">
        <f t="shared" si="39"/>
        <v>10331.945740910805</v>
      </c>
      <c r="F150" s="11">
        <f t="shared" si="46"/>
        <v>0</v>
      </c>
      <c r="G150" s="11">
        <f t="shared" si="47"/>
        <v>0</v>
      </c>
      <c r="H150" s="11">
        <f t="shared" si="48"/>
        <v>11028.302449409772</v>
      </c>
      <c r="I150" s="11">
        <f t="shared" si="40"/>
        <v>11028.302449409772</v>
      </c>
      <c r="J150" s="11">
        <f t="shared" si="49"/>
        <v>0</v>
      </c>
      <c r="K150" s="11">
        <f t="shared" si="50"/>
        <v>0</v>
      </c>
      <c r="L150" s="11">
        <f t="shared" si="51"/>
        <v>10676.078820921379</v>
      </c>
      <c r="M150" s="11">
        <f t="shared" si="41"/>
        <v>10676.078820921379</v>
      </c>
    </row>
    <row r="151" spans="1:13" x14ac:dyDescent="0.25">
      <c r="A151" s="7">
        <f t="shared" si="42"/>
        <v>127</v>
      </c>
      <c r="B151" s="11">
        <f t="shared" si="43"/>
        <v>0</v>
      </c>
      <c r="C151" s="11">
        <f t="shared" si="44"/>
        <v>0</v>
      </c>
      <c r="D151" s="11">
        <f t="shared" si="45"/>
        <v>11198.7442393253</v>
      </c>
      <c r="E151" s="11">
        <f t="shared" si="39"/>
        <v>11198.7442393253</v>
      </c>
      <c r="F151" s="11">
        <f t="shared" si="46"/>
        <v>0</v>
      </c>
      <c r="G151" s="11">
        <f t="shared" si="47"/>
        <v>0</v>
      </c>
      <c r="H151" s="11">
        <f t="shared" si="48"/>
        <v>11898.929076271264</v>
      </c>
      <c r="I151" s="11">
        <f t="shared" si="40"/>
        <v>11898.929076271264</v>
      </c>
      <c r="J151" s="11">
        <f t="shared" si="49"/>
        <v>0</v>
      </c>
      <c r="K151" s="11">
        <f t="shared" si="50"/>
        <v>0</v>
      </c>
      <c r="L151" s="11">
        <f t="shared" si="51"/>
        <v>11544.769145201932</v>
      </c>
      <c r="M151" s="11">
        <f t="shared" si="41"/>
        <v>11544.769145201932</v>
      </c>
    </row>
    <row r="152" spans="1:13" x14ac:dyDescent="0.25">
      <c r="A152" s="7">
        <f t="shared" si="42"/>
        <v>128</v>
      </c>
      <c r="B152" s="11">
        <f t="shared" si="43"/>
        <v>0</v>
      </c>
      <c r="C152" s="11">
        <f t="shared" si="44"/>
        <v>0</v>
      </c>
      <c r="D152" s="11">
        <f t="shared" si="45"/>
        <v>12070.307847272161</v>
      </c>
      <c r="E152" s="11">
        <f t="shared" ref="E152:E183" si="52">D152-B152</f>
        <v>12070.307847272161</v>
      </c>
      <c r="F152" s="11">
        <f t="shared" si="46"/>
        <v>0</v>
      </c>
      <c r="G152" s="11">
        <f t="shared" si="47"/>
        <v>0</v>
      </c>
      <c r="H152" s="11">
        <f t="shared" si="48"/>
        <v>12774.341857292433</v>
      </c>
      <c r="I152" s="11">
        <f t="shared" ref="I152:I183" si="53">H152-F152</f>
        <v>12774.341857292433</v>
      </c>
      <c r="J152" s="11">
        <f t="shared" si="49"/>
        <v>0</v>
      </c>
      <c r="K152" s="11">
        <f t="shared" si="50"/>
        <v>0</v>
      </c>
      <c r="L152" s="11">
        <f t="shared" si="51"/>
        <v>12418.234979076091</v>
      </c>
      <c r="M152" s="11">
        <f t="shared" ref="M152:M183" si="54">L152-J152</f>
        <v>12418.234979076091</v>
      </c>
    </row>
    <row r="153" spans="1:13" x14ac:dyDescent="0.25">
      <c r="A153" s="7">
        <f t="shared" ref="A153:A184" si="55">A152+1</f>
        <v>129</v>
      </c>
      <c r="B153" s="11">
        <f t="shared" ref="B153:B184" si="56">MAX(0,B152*(1+$B$18)-MIN(B152*(1+$B$18),$B$8+$B$9))</f>
        <v>0</v>
      </c>
      <c r="C153" s="11">
        <f t="shared" ref="C153:C184" si="57">B152*$B$18</f>
        <v>0</v>
      </c>
      <c r="D153" s="11">
        <f t="shared" ref="D153:D184" si="58">D152*(1+$B$19)+MAX(0,($B$8+$B$9)-B152*(1+$B$18))</f>
        <v>12946.662760307672</v>
      </c>
      <c r="E153" s="11">
        <f t="shared" si="52"/>
        <v>12946.662760307672</v>
      </c>
      <c r="F153" s="11">
        <f t="shared" ref="F153:F184" si="59">MAX(0,F152*(1+$B$18)-MIN(F152*(1+$B$18),$B$8))</f>
        <v>0</v>
      </c>
      <c r="G153" s="11">
        <f t="shared" ref="G153:G184" si="60">F152*$B$18</f>
        <v>0</v>
      </c>
      <c r="H153" s="11">
        <f t="shared" ref="H153:H184" si="61">H152*(1+$B$19)+$B$9+MAX(0,$B$8-F152*(1+$B$18))</f>
        <v>13654.567103719606</v>
      </c>
      <c r="I153" s="11">
        <f t="shared" si="53"/>
        <v>13654.567103719606</v>
      </c>
      <c r="J153" s="11">
        <f t="shared" ref="J153:J184" si="62">MAX(0,J152*(1+$B$18)-MIN(J152*(1+$B$18),$B$8+$B$9*$B$14))</f>
        <v>0</v>
      </c>
      <c r="K153" s="11">
        <f t="shared" ref="K153:K184" si="63">J152*$B$18</f>
        <v>0</v>
      </c>
      <c r="L153" s="11">
        <f t="shared" ref="L153:L184" si="64">L152*(1+$B$19)+IF(J152=0,$B$8+$B$9,$B$9*(1-$B$14)+MAX(0,($B$8+$B$9*$B$14)-J152*(1+$B$18)))</f>
        <v>13296.502575273098</v>
      </c>
      <c r="M153" s="11">
        <f t="shared" si="54"/>
        <v>13296.502575273098</v>
      </c>
    </row>
    <row r="154" spans="1:13" x14ac:dyDescent="0.25">
      <c r="A154" s="7">
        <f t="shared" si="55"/>
        <v>130</v>
      </c>
      <c r="B154" s="11">
        <f t="shared" si="56"/>
        <v>0</v>
      </c>
      <c r="C154" s="11">
        <f t="shared" si="57"/>
        <v>0</v>
      </c>
      <c r="D154" s="11">
        <f t="shared" si="58"/>
        <v>13827.835317994713</v>
      </c>
      <c r="E154" s="11">
        <f t="shared" si="52"/>
        <v>13827.835317994713</v>
      </c>
      <c r="F154" s="11">
        <f t="shared" si="59"/>
        <v>0</v>
      </c>
      <c r="G154" s="11">
        <f t="shared" si="60"/>
        <v>0</v>
      </c>
      <c r="H154" s="11">
        <f t="shared" si="61"/>
        <v>14539.631271441694</v>
      </c>
      <c r="I154" s="11">
        <f t="shared" si="53"/>
        <v>14539.631271441694</v>
      </c>
      <c r="J154" s="11">
        <f t="shared" si="62"/>
        <v>0</v>
      </c>
      <c r="K154" s="11">
        <f t="shared" si="63"/>
        <v>0</v>
      </c>
      <c r="L154" s="11">
        <f t="shared" si="64"/>
        <v>14179.598330843086</v>
      </c>
      <c r="M154" s="11">
        <f t="shared" si="54"/>
        <v>14179.598330843086</v>
      </c>
    </row>
    <row r="155" spans="1:13" x14ac:dyDescent="0.25">
      <c r="A155" s="7">
        <f t="shared" si="55"/>
        <v>131</v>
      </c>
      <c r="B155" s="11">
        <f t="shared" si="56"/>
        <v>0</v>
      </c>
      <c r="C155" s="11">
        <f t="shared" si="57"/>
        <v>0</v>
      </c>
      <c r="D155" s="11">
        <f t="shared" si="58"/>
        <v>14713.852004694405</v>
      </c>
      <c r="E155" s="11">
        <f t="shared" si="52"/>
        <v>14713.852004694405</v>
      </c>
      <c r="F155" s="11">
        <f t="shared" si="59"/>
        <v>0</v>
      </c>
      <c r="G155" s="11">
        <f t="shared" si="60"/>
        <v>0</v>
      </c>
      <c r="H155" s="11">
        <f t="shared" si="61"/>
        <v>15429.560961785339</v>
      </c>
      <c r="I155" s="11">
        <f t="shared" si="53"/>
        <v>15429.560961785339</v>
      </c>
      <c r="J155" s="11">
        <f t="shared" si="62"/>
        <v>0</v>
      </c>
      <c r="K155" s="11">
        <f t="shared" si="63"/>
        <v>0</v>
      </c>
      <c r="L155" s="11">
        <f t="shared" si="64"/>
        <v>15067.54878795046</v>
      </c>
      <c r="M155" s="11">
        <f t="shared" si="54"/>
        <v>15067.54878795046</v>
      </c>
    </row>
    <row r="156" spans="1:13" x14ac:dyDescent="0.25">
      <c r="A156" s="7">
        <f t="shared" si="55"/>
        <v>132</v>
      </c>
      <c r="B156" s="11">
        <f t="shared" si="56"/>
        <v>0</v>
      </c>
      <c r="C156" s="11">
        <f t="shared" si="57"/>
        <v>0</v>
      </c>
      <c r="D156" s="11">
        <f t="shared" si="58"/>
        <v>15604.739450362125</v>
      </c>
      <c r="E156" s="11">
        <f t="shared" si="52"/>
        <v>15604.739450362125</v>
      </c>
      <c r="F156" s="11">
        <f t="shared" si="59"/>
        <v>0</v>
      </c>
      <c r="G156" s="11">
        <f t="shared" si="60"/>
        <v>0</v>
      </c>
      <c r="H156" s="11">
        <f t="shared" si="61"/>
        <v>16324.382922314438</v>
      </c>
      <c r="I156" s="11">
        <f t="shared" si="53"/>
        <v>16324.382922314438</v>
      </c>
      <c r="J156" s="11">
        <f t="shared" si="62"/>
        <v>0</v>
      </c>
      <c r="K156" s="11">
        <f t="shared" si="63"/>
        <v>0</v>
      </c>
      <c r="L156" s="11">
        <f t="shared" si="64"/>
        <v>15960.380634671646</v>
      </c>
      <c r="M156" s="11">
        <f t="shared" si="54"/>
        <v>15960.380634671646</v>
      </c>
    </row>
    <row r="157" spans="1:13" x14ac:dyDescent="0.25">
      <c r="A157" s="7">
        <f t="shared" si="55"/>
        <v>133</v>
      </c>
      <c r="B157" s="11">
        <f t="shared" si="56"/>
        <v>0</v>
      </c>
      <c r="C157" s="11">
        <f t="shared" si="57"/>
        <v>0</v>
      </c>
      <c r="D157" s="11">
        <f t="shared" si="58"/>
        <v>16500.524431347891</v>
      </c>
      <c r="E157" s="11">
        <f t="shared" si="52"/>
        <v>16500.524431347891</v>
      </c>
      <c r="F157" s="11">
        <f t="shared" si="59"/>
        <v>0</v>
      </c>
      <c r="G157" s="11">
        <f t="shared" si="60"/>
        <v>0</v>
      </c>
      <c r="H157" s="11">
        <f t="shared" si="61"/>
        <v>17224.124047634068</v>
      </c>
      <c r="I157" s="11">
        <f t="shared" si="53"/>
        <v>17224.124047634068</v>
      </c>
      <c r="J157" s="11">
        <f t="shared" si="62"/>
        <v>0</v>
      </c>
      <c r="K157" s="11">
        <f t="shared" si="63"/>
        <v>0</v>
      </c>
      <c r="L157" s="11">
        <f t="shared" si="64"/>
        <v>16858.120705797228</v>
      </c>
      <c r="M157" s="11">
        <f t="shared" si="54"/>
        <v>16858.120705797228</v>
      </c>
    </row>
    <row r="158" spans="1:13" x14ac:dyDescent="0.25">
      <c r="A158" s="7">
        <f t="shared" si="55"/>
        <v>134</v>
      </c>
      <c r="B158" s="11">
        <f t="shared" si="56"/>
        <v>0</v>
      </c>
      <c r="C158" s="11">
        <f t="shared" si="57"/>
        <v>0</v>
      </c>
      <c r="D158" s="11">
        <f t="shared" si="58"/>
        <v>17401.233871201148</v>
      </c>
      <c r="E158" s="11">
        <f t="shared" si="52"/>
        <v>17401.233871201148</v>
      </c>
      <c r="F158" s="11">
        <f t="shared" si="59"/>
        <v>0</v>
      </c>
      <c r="G158" s="11">
        <f t="shared" si="60"/>
        <v>0</v>
      </c>
      <c r="H158" s="11">
        <f t="shared" si="61"/>
        <v>18128.811380198822</v>
      </c>
      <c r="I158" s="11">
        <f t="shared" si="53"/>
        <v>18128.811380198822</v>
      </c>
      <c r="J158" s="11">
        <f t="shared" si="62"/>
        <v>0</v>
      </c>
      <c r="K158" s="11">
        <f t="shared" si="63"/>
        <v>0</v>
      </c>
      <c r="L158" s="11">
        <f t="shared" si="64"/>
        <v>17760.795983638476</v>
      </c>
      <c r="M158" s="11">
        <f t="shared" si="54"/>
        <v>17760.795983638476</v>
      </c>
    </row>
    <row r="159" spans="1:13" x14ac:dyDescent="0.25">
      <c r="A159" s="7">
        <f t="shared" si="55"/>
        <v>135</v>
      </c>
      <c r="B159" s="11">
        <f t="shared" si="56"/>
        <v>0</v>
      </c>
      <c r="C159" s="11">
        <f t="shared" si="57"/>
        <v>0</v>
      </c>
      <c r="D159" s="11">
        <f t="shared" si="58"/>
        <v>18306.894841479971</v>
      </c>
      <c r="E159" s="11">
        <f t="shared" si="52"/>
        <v>18306.894841479971</v>
      </c>
      <c r="F159" s="11">
        <f t="shared" si="59"/>
        <v>0</v>
      </c>
      <c r="G159" s="11">
        <f t="shared" si="60"/>
        <v>0</v>
      </c>
      <c r="H159" s="11">
        <f t="shared" si="61"/>
        <v>19038.472111125593</v>
      </c>
      <c r="I159" s="11">
        <f t="shared" si="53"/>
        <v>19038.472111125593</v>
      </c>
      <c r="J159" s="11">
        <f t="shared" si="62"/>
        <v>0</v>
      </c>
      <c r="K159" s="11">
        <f t="shared" si="63"/>
        <v>0</v>
      </c>
      <c r="L159" s="11">
        <f t="shared" si="64"/>
        <v>18668.433598838335</v>
      </c>
      <c r="M159" s="11">
        <f t="shared" si="54"/>
        <v>18668.433598838335</v>
      </c>
    </row>
    <row r="160" spans="1:13" x14ac:dyDescent="0.25">
      <c r="A160" s="7">
        <f t="shared" si="55"/>
        <v>136</v>
      </c>
      <c r="B160" s="11">
        <f t="shared" si="56"/>
        <v>0</v>
      </c>
      <c r="C160" s="11">
        <f t="shared" si="57"/>
        <v>0</v>
      </c>
      <c r="D160" s="11">
        <f t="shared" si="58"/>
        <v>19217.534562564731</v>
      </c>
      <c r="E160" s="11">
        <f t="shared" si="52"/>
        <v>19217.534562564731</v>
      </c>
      <c r="F160" s="11">
        <f t="shared" si="59"/>
        <v>0</v>
      </c>
      <c r="G160" s="11">
        <f t="shared" si="60"/>
        <v>0</v>
      </c>
      <c r="H160" s="11">
        <f t="shared" si="61"/>
        <v>19953.133581010825</v>
      </c>
      <c r="I160" s="11">
        <f t="shared" si="53"/>
        <v>19953.133581010825</v>
      </c>
      <c r="J160" s="11">
        <f t="shared" si="62"/>
        <v>0</v>
      </c>
      <c r="K160" s="11">
        <f t="shared" si="63"/>
        <v>0</v>
      </c>
      <c r="L160" s="11">
        <f t="shared" si="64"/>
        <v>19581.060831186853</v>
      </c>
      <c r="M160" s="11">
        <f t="shared" si="54"/>
        <v>19581.060831186853</v>
      </c>
    </row>
    <row r="161" spans="1:13" x14ac:dyDescent="0.25">
      <c r="A161" s="7">
        <f t="shared" si="55"/>
        <v>137</v>
      </c>
      <c r="B161" s="11">
        <f t="shared" si="56"/>
        <v>0</v>
      </c>
      <c r="C161" s="11">
        <f t="shared" si="57"/>
        <v>0</v>
      </c>
      <c r="D161" s="11">
        <f t="shared" si="58"/>
        <v>20133.180404476221</v>
      </c>
      <c r="E161" s="11">
        <f t="shared" si="52"/>
        <v>20133.180404476221</v>
      </c>
      <c r="F161" s="11">
        <f t="shared" si="59"/>
        <v>0</v>
      </c>
      <c r="G161" s="11">
        <f t="shared" si="60"/>
        <v>0</v>
      </c>
      <c r="H161" s="11">
        <f t="shared" si="61"/>
        <v>20872.823280752255</v>
      </c>
      <c r="I161" s="11">
        <f t="shared" si="53"/>
        <v>20872.823280752255</v>
      </c>
      <c r="J161" s="11">
        <f t="shared" si="62"/>
        <v>0</v>
      </c>
      <c r="K161" s="11">
        <f t="shared" si="63"/>
        <v>0</v>
      </c>
      <c r="L161" s="11">
        <f t="shared" si="64"/>
        <v>20498.705110441097</v>
      </c>
      <c r="M161" s="11">
        <f t="shared" si="54"/>
        <v>20498.705110441097</v>
      </c>
    </row>
    <row r="162" spans="1:13" x14ac:dyDescent="0.25">
      <c r="A162" s="7">
        <f t="shared" si="55"/>
        <v>138</v>
      </c>
      <c r="B162" s="11">
        <f t="shared" si="56"/>
        <v>0</v>
      </c>
      <c r="C162" s="11">
        <f t="shared" si="57"/>
        <v>0</v>
      </c>
      <c r="D162" s="11">
        <f t="shared" si="58"/>
        <v>21053.859887698283</v>
      </c>
      <c r="E162" s="11">
        <f t="shared" si="52"/>
        <v>21053.859887698283</v>
      </c>
      <c r="F162" s="11">
        <f t="shared" si="59"/>
        <v>0</v>
      </c>
      <c r="G162" s="11">
        <f t="shared" si="60"/>
        <v>0</v>
      </c>
      <c r="H162" s="11">
        <f t="shared" si="61"/>
        <v>21797.568852375181</v>
      </c>
      <c r="I162" s="11">
        <f t="shared" si="53"/>
        <v>21797.568852375181</v>
      </c>
      <c r="J162" s="11">
        <f t="shared" si="62"/>
        <v>0</v>
      </c>
      <c r="K162" s="11">
        <f t="shared" si="63"/>
        <v>0</v>
      </c>
      <c r="L162" s="11">
        <f t="shared" si="64"/>
        <v>21421.394017149578</v>
      </c>
      <c r="M162" s="11">
        <f t="shared" si="54"/>
        <v>21421.394017149578</v>
      </c>
    </row>
    <row r="163" spans="1:13" x14ac:dyDescent="0.25">
      <c r="A163" s="7">
        <f t="shared" si="55"/>
        <v>139</v>
      </c>
      <c r="B163" s="11">
        <f t="shared" si="56"/>
        <v>0</v>
      </c>
      <c r="C163" s="11">
        <f t="shared" si="57"/>
        <v>0</v>
      </c>
      <c r="D163" s="11">
        <f t="shared" si="58"/>
        <v>21979.600684004967</v>
      </c>
      <c r="E163" s="11">
        <f t="shared" si="52"/>
        <v>21979.600684004967</v>
      </c>
      <c r="F163" s="11">
        <f t="shared" si="59"/>
        <v>0</v>
      </c>
      <c r="G163" s="11">
        <f t="shared" si="60"/>
        <v>0</v>
      </c>
      <c r="H163" s="11">
        <f t="shared" si="61"/>
        <v>22727.398089863254</v>
      </c>
      <c r="I163" s="11">
        <f t="shared" si="53"/>
        <v>22727.398089863254</v>
      </c>
      <c r="J163" s="11">
        <f t="shared" si="62"/>
        <v>0</v>
      </c>
      <c r="K163" s="11">
        <f t="shared" si="63"/>
        <v>0</v>
      </c>
      <c r="L163" s="11">
        <f t="shared" si="64"/>
        <v>22349.15528348121</v>
      </c>
      <c r="M163" s="11">
        <f t="shared" si="54"/>
        <v>22349.15528348121</v>
      </c>
    </row>
    <row r="164" spans="1:13" x14ac:dyDescent="0.25">
      <c r="A164" s="7">
        <f t="shared" si="55"/>
        <v>140</v>
      </c>
      <c r="B164" s="11">
        <f t="shared" si="56"/>
        <v>0</v>
      </c>
      <c r="C164" s="11">
        <f t="shared" si="57"/>
        <v>0</v>
      </c>
      <c r="D164" s="11">
        <f t="shared" si="58"/>
        <v>22910.430617292215</v>
      </c>
      <c r="E164" s="11">
        <f t="shared" si="52"/>
        <v>22910.430617292215</v>
      </c>
      <c r="F164" s="11">
        <f t="shared" si="59"/>
        <v>0</v>
      </c>
      <c r="G164" s="11">
        <f t="shared" si="60"/>
        <v>0</v>
      </c>
      <c r="H164" s="11">
        <f t="shared" si="61"/>
        <v>23662.338939993864</v>
      </c>
      <c r="I164" s="11">
        <f t="shared" si="53"/>
        <v>23662.338939993864</v>
      </c>
      <c r="J164" s="11">
        <f t="shared" si="62"/>
        <v>0</v>
      </c>
      <c r="K164" s="11">
        <f t="shared" si="63"/>
        <v>0</v>
      </c>
      <c r="L164" s="11">
        <f t="shared" si="64"/>
        <v>23282.016794058814</v>
      </c>
      <c r="M164" s="11">
        <f t="shared" si="54"/>
        <v>23282.016794058814</v>
      </c>
    </row>
    <row r="165" spans="1:13" x14ac:dyDescent="0.25">
      <c r="A165" s="7">
        <f t="shared" si="55"/>
        <v>141</v>
      </c>
      <c r="B165" s="11">
        <f t="shared" si="56"/>
        <v>0</v>
      </c>
      <c r="C165" s="11">
        <f t="shared" si="57"/>
        <v>0</v>
      </c>
      <c r="D165" s="11">
        <f t="shared" si="58"/>
        <v>23846.377664414144</v>
      </c>
      <c r="E165" s="11">
        <f t="shared" si="52"/>
        <v>23846.377664414144</v>
      </c>
      <c r="F165" s="11">
        <f t="shared" si="59"/>
        <v>0</v>
      </c>
      <c r="G165" s="11">
        <f t="shared" si="60"/>
        <v>0</v>
      </c>
      <c r="H165" s="11">
        <f t="shared" si="61"/>
        <v>24602.419503178087</v>
      </c>
      <c r="I165" s="11">
        <f t="shared" si="53"/>
        <v>24602.419503178087</v>
      </c>
      <c r="J165" s="11">
        <f t="shared" si="62"/>
        <v>0</v>
      </c>
      <c r="K165" s="11">
        <f t="shared" si="63"/>
        <v>0</v>
      </c>
      <c r="L165" s="11">
        <f t="shared" si="64"/>
        <v>24220.006586797219</v>
      </c>
      <c r="M165" s="11">
        <f t="shared" si="54"/>
        <v>24220.006586797219</v>
      </c>
    </row>
    <row r="166" spans="1:13" x14ac:dyDescent="0.25">
      <c r="A166" s="7">
        <f t="shared" si="55"/>
        <v>142</v>
      </c>
      <c r="B166" s="11">
        <f t="shared" si="56"/>
        <v>0</v>
      </c>
      <c r="C166" s="11">
        <f t="shared" si="57"/>
        <v>0</v>
      </c>
      <c r="D166" s="11">
        <f t="shared" si="58"/>
        <v>24787.469956023902</v>
      </c>
      <c r="E166" s="11">
        <f t="shared" si="52"/>
        <v>24787.469956023902</v>
      </c>
      <c r="F166" s="11">
        <f t="shared" si="59"/>
        <v>0</v>
      </c>
      <c r="G166" s="11">
        <f t="shared" si="60"/>
        <v>0</v>
      </c>
      <c r="H166" s="11">
        <f t="shared" si="61"/>
        <v>25547.668034305279</v>
      </c>
      <c r="I166" s="11">
        <f t="shared" si="53"/>
        <v>25547.668034305279</v>
      </c>
      <c r="J166" s="11">
        <f t="shared" si="62"/>
        <v>0</v>
      </c>
      <c r="K166" s="11">
        <f t="shared" si="63"/>
        <v>0</v>
      </c>
      <c r="L166" s="11">
        <f t="shared" si="64"/>
        <v>25163.152853745967</v>
      </c>
      <c r="M166" s="11">
        <f t="shared" si="54"/>
        <v>25163.152853745967</v>
      </c>
    </row>
    <row r="167" spans="1:13" x14ac:dyDescent="0.25">
      <c r="A167" s="7">
        <f t="shared" si="55"/>
        <v>143</v>
      </c>
      <c r="B167" s="11">
        <f t="shared" si="56"/>
        <v>0</v>
      </c>
      <c r="C167" s="11">
        <f t="shared" si="57"/>
        <v>0</v>
      </c>
      <c r="D167" s="11">
        <f t="shared" si="58"/>
        <v>25733.735777419173</v>
      </c>
      <c r="E167" s="11">
        <f t="shared" si="52"/>
        <v>25733.735777419173</v>
      </c>
      <c r="F167" s="11">
        <f t="shared" si="59"/>
        <v>0</v>
      </c>
      <c r="G167" s="11">
        <f t="shared" si="60"/>
        <v>0</v>
      </c>
      <c r="H167" s="11">
        <f t="shared" si="61"/>
        <v>26498.112943592292</v>
      </c>
      <c r="I167" s="11">
        <f t="shared" si="53"/>
        <v>26498.112943592292</v>
      </c>
      <c r="J167" s="11">
        <f t="shared" si="62"/>
        <v>0</v>
      </c>
      <c r="K167" s="11">
        <f t="shared" si="63"/>
        <v>0</v>
      </c>
      <c r="L167" s="11">
        <f t="shared" si="64"/>
        <v>26111.483941936644</v>
      </c>
      <c r="M167" s="11">
        <f t="shared" si="54"/>
        <v>26111.483941936644</v>
      </c>
    </row>
    <row r="168" spans="1:13" x14ac:dyDescent="0.25">
      <c r="A168" s="7">
        <f t="shared" si="55"/>
        <v>144</v>
      </c>
      <c r="B168" s="11">
        <f t="shared" si="56"/>
        <v>0</v>
      </c>
      <c r="C168" s="11">
        <f t="shared" si="57"/>
        <v>0</v>
      </c>
      <c r="D168" s="11">
        <f t="shared" si="58"/>
        <v>26685.203569392299</v>
      </c>
      <c r="E168" s="11">
        <f t="shared" si="52"/>
        <v>26685.203569392299</v>
      </c>
      <c r="F168" s="11">
        <f t="shared" si="59"/>
        <v>0</v>
      </c>
      <c r="G168" s="11">
        <f t="shared" si="60"/>
        <v>0</v>
      </c>
      <c r="H168" s="11">
        <f t="shared" si="61"/>
        <v>27453.782797437372</v>
      </c>
      <c r="I168" s="11">
        <f t="shared" si="53"/>
        <v>27453.782797437372</v>
      </c>
      <c r="J168" s="11">
        <f t="shared" si="62"/>
        <v>0</v>
      </c>
      <c r="K168" s="11">
        <f t="shared" si="63"/>
        <v>0</v>
      </c>
      <c r="L168" s="11">
        <f t="shared" si="64"/>
        <v>27065.02835423487</v>
      </c>
      <c r="M168" s="11">
        <f t="shared" si="54"/>
        <v>27065.02835423487</v>
      </c>
    </row>
    <row r="169" spans="1:13" x14ac:dyDescent="0.25">
      <c r="A169" s="7">
        <f t="shared" si="55"/>
        <v>145</v>
      </c>
      <c r="B169" s="11">
        <f t="shared" si="56"/>
        <v>0</v>
      </c>
      <c r="C169" s="11">
        <f t="shared" si="57"/>
        <v>0</v>
      </c>
      <c r="D169" s="11">
        <f t="shared" si="58"/>
        <v>27641.901929085099</v>
      </c>
      <c r="E169" s="11">
        <f t="shared" si="52"/>
        <v>27641.901929085099</v>
      </c>
      <c r="F169" s="11">
        <f t="shared" si="59"/>
        <v>0</v>
      </c>
      <c r="G169" s="11">
        <f t="shared" si="60"/>
        <v>0</v>
      </c>
      <c r="H169" s="11">
        <f t="shared" si="61"/>
        <v>28414.706319278739</v>
      </c>
      <c r="I169" s="11">
        <f t="shared" si="53"/>
        <v>28414.706319278739</v>
      </c>
      <c r="J169" s="11">
        <f t="shared" si="62"/>
        <v>0</v>
      </c>
      <c r="K169" s="11">
        <f t="shared" si="63"/>
        <v>0</v>
      </c>
      <c r="L169" s="11">
        <f t="shared" si="64"/>
        <v>28023.814750196991</v>
      </c>
      <c r="M169" s="11">
        <f t="shared" si="54"/>
        <v>28023.814750196991</v>
      </c>
    </row>
    <row r="170" spans="1:13" x14ac:dyDescent="0.25">
      <c r="A170" s="7">
        <f t="shared" si="55"/>
        <v>146</v>
      </c>
      <c r="B170" s="11">
        <f t="shared" si="56"/>
        <v>0</v>
      </c>
      <c r="C170" s="11">
        <f t="shared" si="57"/>
        <v>0</v>
      </c>
      <c r="D170" s="11">
        <f t="shared" si="58"/>
        <v>28603.85961084838</v>
      </c>
      <c r="E170" s="11">
        <f t="shared" si="52"/>
        <v>28603.85961084838</v>
      </c>
      <c r="F170" s="11">
        <f t="shared" si="59"/>
        <v>0</v>
      </c>
      <c r="G170" s="11">
        <f t="shared" si="60"/>
        <v>0</v>
      </c>
      <c r="H170" s="11">
        <f t="shared" si="61"/>
        <v>29380.912390457899</v>
      </c>
      <c r="I170" s="11">
        <f t="shared" si="53"/>
        <v>29380.912390457899</v>
      </c>
      <c r="J170" s="11">
        <f t="shared" si="62"/>
        <v>0</v>
      </c>
      <c r="K170" s="11">
        <f t="shared" si="63"/>
        <v>0</v>
      </c>
      <c r="L170" s="11">
        <f t="shared" si="64"/>
        <v>28987.871946931442</v>
      </c>
      <c r="M170" s="11">
        <f t="shared" si="54"/>
        <v>28987.871946931442</v>
      </c>
    </row>
    <row r="171" spans="1:13" x14ac:dyDescent="0.25">
      <c r="A171" s="7">
        <f t="shared" si="55"/>
        <v>147</v>
      </c>
      <c r="B171" s="11">
        <f t="shared" si="56"/>
        <v>0</v>
      </c>
      <c r="C171" s="11">
        <f t="shared" si="57"/>
        <v>0</v>
      </c>
      <c r="D171" s="11">
        <f t="shared" si="58"/>
        <v>29571.105527106163</v>
      </c>
      <c r="E171" s="11">
        <f t="shared" si="52"/>
        <v>29571.105527106163</v>
      </c>
      <c r="F171" s="11">
        <f t="shared" si="59"/>
        <v>0</v>
      </c>
      <c r="G171" s="11">
        <f t="shared" si="60"/>
        <v>0</v>
      </c>
      <c r="H171" s="11">
        <f t="shared" si="61"/>
        <v>30352.430051087693</v>
      </c>
      <c r="I171" s="11">
        <f t="shared" si="53"/>
        <v>30352.430051087693</v>
      </c>
      <c r="J171" s="11">
        <f t="shared" si="62"/>
        <v>0</v>
      </c>
      <c r="K171" s="11">
        <f t="shared" si="63"/>
        <v>0</v>
      </c>
      <c r="L171" s="11">
        <f t="shared" si="64"/>
        <v>29957.228919964891</v>
      </c>
      <c r="M171" s="11">
        <f t="shared" si="54"/>
        <v>29957.228919964891</v>
      </c>
    </row>
    <row r="172" spans="1:13" x14ac:dyDescent="0.25">
      <c r="A172" s="7">
        <f t="shared" si="55"/>
        <v>148</v>
      </c>
      <c r="B172" s="11">
        <f t="shared" si="56"/>
        <v>0</v>
      </c>
      <c r="C172" s="11">
        <f t="shared" si="57"/>
        <v>0</v>
      </c>
      <c r="D172" s="11">
        <f t="shared" si="58"/>
        <v>30543.668749224689</v>
      </c>
      <c r="E172" s="11">
        <f t="shared" si="52"/>
        <v>30543.668749224689</v>
      </c>
      <c r="F172" s="11">
        <f t="shared" si="59"/>
        <v>0</v>
      </c>
      <c r="G172" s="11">
        <f t="shared" si="60"/>
        <v>0</v>
      </c>
      <c r="H172" s="11">
        <f t="shared" si="61"/>
        <v>31329.288500925122</v>
      </c>
      <c r="I172" s="11">
        <f t="shared" si="53"/>
        <v>31329.288500925122</v>
      </c>
      <c r="J172" s="11">
        <f t="shared" si="62"/>
        <v>0</v>
      </c>
      <c r="K172" s="11">
        <f t="shared" si="63"/>
        <v>0</v>
      </c>
      <c r="L172" s="11">
        <f t="shared" si="64"/>
        <v>30931.914804113108</v>
      </c>
      <c r="M172" s="11">
        <f t="shared" si="54"/>
        <v>30931.914804113108</v>
      </c>
    </row>
    <row r="173" spans="1:13" x14ac:dyDescent="0.25">
      <c r="A173" s="7">
        <f t="shared" si="55"/>
        <v>149</v>
      </c>
      <c r="B173" s="11">
        <f t="shared" si="56"/>
        <v>0</v>
      </c>
      <c r="C173" s="11">
        <f t="shared" si="57"/>
        <v>0</v>
      </c>
      <c r="D173" s="11">
        <f t="shared" si="58"/>
        <v>31521.578508386159</v>
      </c>
      <c r="E173" s="11">
        <f t="shared" si="52"/>
        <v>31521.578508386159</v>
      </c>
      <c r="F173" s="11">
        <f t="shared" si="59"/>
        <v>0</v>
      </c>
      <c r="G173" s="11">
        <f t="shared" si="60"/>
        <v>0</v>
      </c>
      <c r="H173" s="11">
        <f t="shared" si="61"/>
        <v>32311.51710024897</v>
      </c>
      <c r="I173" s="11">
        <f t="shared" si="53"/>
        <v>32311.51710024897</v>
      </c>
      <c r="J173" s="11">
        <f t="shared" si="62"/>
        <v>0</v>
      </c>
      <c r="K173" s="11">
        <f t="shared" si="63"/>
        <v>0</v>
      </c>
      <c r="L173" s="11">
        <f t="shared" si="64"/>
        <v>31911.958894356641</v>
      </c>
      <c r="M173" s="11">
        <f t="shared" si="54"/>
        <v>31911.958894356641</v>
      </c>
    </row>
    <row r="174" spans="1:13" x14ac:dyDescent="0.25">
      <c r="A174" s="7">
        <f t="shared" si="55"/>
        <v>150</v>
      </c>
      <c r="B174" s="11">
        <f t="shared" si="56"/>
        <v>0</v>
      </c>
      <c r="C174" s="11">
        <f t="shared" si="57"/>
        <v>0</v>
      </c>
      <c r="D174" s="11">
        <f t="shared" si="58"/>
        <v>32504.864196467322</v>
      </c>
      <c r="E174" s="11">
        <f t="shared" si="52"/>
        <v>32504.864196467322</v>
      </c>
      <c r="F174" s="11">
        <f t="shared" si="59"/>
        <v>0</v>
      </c>
      <c r="G174" s="11">
        <f t="shared" si="60"/>
        <v>0</v>
      </c>
      <c r="H174" s="11">
        <f t="shared" si="61"/>
        <v>33299.145370742255</v>
      </c>
      <c r="I174" s="11">
        <f t="shared" si="53"/>
        <v>33299.145370742255</v>
      </c>
      <c r="J174" s="11">
        <f t="shared" si="62"/>
        <v>0</v>
      </c>
      <c r="K174" s="11">
        <f t="shared" si="63"/>
        <v>0</v>
      </c>
      <c r="L174" s="11">
        <f t="shared" si="64"/>
        <v>32897.390646721302</v>
      </c>
      <c r="M174" s="11">
        <f t="shared" si="54"/>
        <v>32897.390646721302</v>
      </c>
    </row>
    <row r="175" spans="1:13" x14ac:dyDescent="0.25">
      <c r="A175" s="7">
        <f t="shared" si="55"/>
        <v>151</v>
      </c>
      <c r="B175" s="11">
        <f t="shared" si="56"/>
        <v>0</v>
      </c>
      <c r="C175" s="11">
        <f t="shared" si="57"/>
        <v>0</v>
      </c>
      <c r="D175" s="11">
        <f t="shared" si="58"/>
        <v>33493.555366922861</v>
      </c>
      <c r="E175" s="11">
        <f t="shared" si="52"/>
        <v>33493.555366922861</v>
      </c>
      <c r="F175" s="11">
        <f t="shared" si="59"/>
        <v>0</v>
      </c>
      <c r="G175" s="11">
        <f t="shared" si="60"/>
        <v>0</v>
      </c>
      <c r="H175" s="11">
        <f t="shared" si="61"/>
        <v>34292.202996379521</v>
      </c>
      <c r="I175" s="11">
        <f t="shared" si="53"/>
        <v>34292.202996379521</v>
      </c>
      <c r="J175" s="11">
        <f t="shared" si="62"/>
        <v>0</v>
      </c>
      <c r="K175" s="11">
        <f t="shared" si="63"/>
        <v>0</v>
      </c>
      <c r="L175" s="11">
        <f t="shared" si="64"/>
        <v>33888.239679163482</v>
      </c>
      <c r="M175" s="11">
        <f t="shared" si="54"/>
        <v>33888.239679163482</v>
      </c>
    </row>
    <row r="176" spans="1:13" x14ac:dyDescent="0.25">
      <c r="A176" s="7">
        <f t="shared" si="55"/>
        <v>152</v>
      </c>
      <c r="B176" s="11">
        <f t="shared" si="56"/>
        <v>0</v>
      </c>
      <c r="C176" s="11">
        <f t="shared" si="57"/>
        <v>0</v>
      </c>
      <c r="D176" s="11">
        <f t="shared" si="58"/>
        <v>34487.681735673643</v>
      </c>
      <c r="E176" s="11">
        <f t="shared" si="52"/>
        <v>34487.681735673643</v>
      </c>
      <c r="F176" s="11">
        <f t="shared" si="59"/>
        <v>0</v>
      </c>
      <c r="G176" s="11">
        <f t="shared" si="60"/>
        <v>0</v>
      </c>
      <c r="H176" s="11">
        <f t="shared" si="61"/>
        <v>35290.719824319014</v>
      </c>
      <c r="I176" s="11">
        <f t="shared" si="53"/>
        <v>35290.719824319014</v>
      </c>
      <c r="J176" s="11">
        <f t="shared" si="62"/>
        <v>0</v>
      </c>
      <c r="K176" s="11">
        <f t="shared" si="63"/>
        <v>0</v>
      </c>
      <c r="L176" s="11">
        <f t="shared" si="64"/>
        <v>34884.53577246036</v>
      </c>
      <c r="M176" s="11">
        <f t="shared" si="54"/>
        <v>34884.53577246036</v>
      </c>
    </row>
    <row r="177" spans="1:13" x14ac:dyDescent="0.25">
      <c r="A177" s="7">
        <f t="shared" si="55"/>
        <v>153</v>
      </c>
      <c r="B177" s="11">
        <f t="shared" si="56"/>
        <v>0</v>
      </c>
      <c r="C177" s="11">
        <f t="shared" si="57"/>
        <v>0</v>
      </c>
      <c r="D177" s="11">
        <f t="shared" si="58"/>
        <v>35487.273181999859</v>
      </c>
      <c r="E177" s="11">
        <f t="shared" si="52"/>
        <v>35487.273181999859</v>
      </c>
      <c r="F177" s="11">
        <f t="shared" si="59"/>
        <v>0</v>
      </c>
      <c r="G177" s="11">
        <f t="shared" si="60"/>
        <v>0</v>
      </c>
      <c r="H177" s="11">
        <f t="shared" si="61"/>
        <v>36294.725865799766</v>
      </c>
      <c r="I177" s="11">
        <f t="shared" si="53"/>
        <v>36294.725865799766</v>
      </c>
      <c r="J177" s="11">
        <f t="shared" si="62"/>
        <v>0</v>
      </c>
      <c r="K177" s="11">
        <f t="shared" si="63"/>
        <v>0</v>
      </c>
      <c r="L177" s="11">
        <f t="shared" si="64"/>
        <v>35886.308871104979</v>
      </c>
      <c r="M177" s="11">
        <f t="shared" si="54"/>
        <v>35886.308871104979</v>
      </c>
    </row>
    <row r="178" spans="1:13" x14ac:dyDescent="0.25">
      <c r="A178" s="7">
        <f t="shared" si="55"/>
        <v>154</v>
      </c>
      <c r="B178" s="11">
        <f t="shared" si="56"/>
        <v>0</v>
      </c>
      <c r="C178" s="11">
        <f t="shared" si="57"/>
        <v>0</v>
      </c>
      <c r="D178" s="11">
        <f t="shared" si="58"/>
        <v>36492.359749439085</v>
      </c>
      <c r="E178" s="11">
        <f t="shared" si="52"/>
        <v>36492.359749439085</v>
      </c>
      <c r="F178" s="11">
        <f t="shared" si="59"/>
        <v>0</v>
      </c>
      <c r="G178" s="11">
        <f t="shared" si="60"/>
        <v>0</v>
      </c>
      <c r="H178" s="11">
        <f t="shared" si="61"/>
        <v>37304.251297043607</v>
      </c>
      <c r="I178" s="11">
        <f t="shared" si="53"/>
        <v>37304.251297043607</v>
      </c>
      <c r="J178" s="11">
        <f t="shared" si="62"/>
        <v>0</v>
      </c>
      <c r="K178" s="11">
        <f t="shared" si="63"/>
        <v>0</v>
      </c>
      <c r="L178" s="11">
        <f t="shared" si="64"/>
        <v>36893.589084206244</v>
      </c>
      <c r="M178" s="11">
        <f t="shared" si="54"/>
        <v>36893.589084206244</v>
      </c>
    </row>
    <row r="179" spans="1:13" x14ac:dyDescent="0.25">
      <c r="A179" s="7">
        <f t="shared" si="55"/>
        <v>155</v>
      </c>
      <c r="B179" s="11">
        <f t="shared" si="56"/>
        <v>0</v>
      </c>
      <c r="C179" s="11">
        <f t="shared" si="57"/>
        <v>0</v>
      </c>
      <c r="D179" s="11">
        <f t="shared" si="58"/>
        <v>37502.971646689235</v>
      </c>
      <c r="E179" s="11">
        <f t="shared" si="52"/>
        <v>37502.971646689235</v>
      </c>
      <c r="F179" s="11">
        <f t="shared" si="59"/>
        <v>0</v>
      </c>
      <c r="G179" s="11">
        <f t="shared" si="60"/>
        <v>0</v>
      </c>
      <c r="H179" s="11">
        <f t="shared" si="61"/>
        <v>38319.326460162134</v>
      </c>
      <c r="I179" s="11">
        <f t="shared" si="53"/>
        <v>38319.326460162134</v>
      </c>
      <c r="J179" s="11">
        <f t="shared" si="62"/>
        <v>0</v>
      </c>
      <c r="K179" s="11">
        <f t="shared" si="63"/>
        <v>0</v>
      </c>
      <c r="L179" s="11">
        <f t="shared" si="64"/>
        <v>37906.406686393886</v>
      </c>
      <c r="M179" s="11">
        <f t="shared" si="54"/>
        <v>37906.406686393886</v>
      </c>
    </row>
    <row r="180" spans="1:13" x14ac:dyDescent="0.25">
      <c r="A180" s="7">
        <f t="shared" si="55"/>
        <v>156</v>
      </c>
      <c r="B180" s="11">
        <f t="shared" si="56"/>
        <v>0</v>
      </c>
      <c r="C180" s="11">
        <f t="shared" si="57"/>
        <v>0</v>
      </c>
      <c r="D180" s="11">
        <f t="shared" si="58"/>
        <v>38519.139248516534</v>
      </c>
      <c r="E180" s="11">
        <f t="shared" si="52"/>
        <v>38519.139248516534</v>
      </c>
      <c r="F180" s="11">
        <f t="shared" si="59"/>
        <v>0</v>
      </c>
      <c r="G180" s="11">
        <f t="shared" si="60"/>
        <v>0</v>
      </c>
      <c r="H180" s="11">
        <f t="shared" si="61"/>
        <v>39339.981864068679</v>
      </c>
      <c r="I180" s="11">
        <f t="shared" si="53"/>
        <v>39339.981864068679</v>
      </c>
      <c r="J180" s="11">
        <f t="shared" si="62"/>
        <v>0</v>
      </c>
      <c r="K180" s="11">
        <f t="shared" si="63"/>
        <v>0</v>
      </c>
      <c r="L180" s="11">
        <f t="shared" si="64"/>
        <v>38924.792118728394</v>
      </c>
      <c r="M180" s="11">
        <f t="shared" si="54"/>
        <v>38924.792118728394</v>
      </c>
    </row>
    <row r="181" spans="1:13" x14ac:dyDescent="0.25">
      <c r="A181" s="7">
        <f t="shared" si="55"/>
        <v>157</v>
      </c>
      <c r="B181" s="11">
        <f t="shared" si="56"/>
        <v>0</v>
      </c>
      <c r="C181" s="11">
        <f t="shared" si="57"/>
        <v>0</v>
      </c>
      <c r="D181" s="11">
        <f t="shared" si="58"/>
        <v>39540.893096668442</v>
      </c>
      <c r="E181" s="11">
        <f t="shared" si="52"/>
        <v>39540.893096668442</v>
      </c>
      <c r="F181" s="11">
        <f t="shared" si="59"/>
        <v>0</v>
      </c>
      <c r="G181" s="11">
        <f t="shared" si="60"/>
        <v>0</v>
      </c>
      <c r="H181" s="11">
        <f t="shared" si="61"/>
        <v>40366.248185395256</v>
      </c>
      <c r="I181" s="11">
        <f t="shared" si="53"/>
        <v>40366.248185395256</v>
      </c>
      <c r="J181" s="11">
        <f t="shared" si="62"/>
        <v>0</v>
      </c>
      <c r="K181" s="11">
        <f t="shared" si="63"/>
        <v>0</v>
      </c>
      <c r="L181" s="11">
        <f t="shared" si="64"/>
        <v>39948.77598961594</v>
      </c>
      <c r="M181" s="11">
        <f t="shared" si="54"/>
        <v>39948.77598961594</v>
      </c>
    </row>
    <row r="182" spans="1:13" x14ac:dyDescent="0.25">
      <c r="A182" s="7">
        <f t="shared" si="55"/>
        <v>158</v>
      </c>
      <c r="B182" s="11">
        <f t="shared" si="56"/>
        <v>0</v>
      </c>
      <c r="C182" s="11">
        <f t="shared" si="57"/>
        <v>0</v>
      </c>
      <c r="D182" s="11">
        <f t="shared" si="58"/>
        <v>40568.263900791622</v>
      </c>
      <c r="E182" s="11">
        <f t="shared" si="52"/>
        <v>40568.263900791622</v>
      </c>
      <c r="F182" s="11">
        <f t="shared" si="59"/>
        <v>0</v>
      </c>
      <c r="G182" s="11">
        <f t="shared" si="60"/>
        <v>0</v>
      </c>
      <c r="H182" s="11">
        <f t="shared" si="61"/>
        <v>41398.156269414598</v>
      </c>
      <c r="I182" s="11">
        <f t="shared" si="53"/>
        <v>41398.156269414598</v>
      </c>
      <c r="J182" s="11">
        <f t="shared" si="62"/>
        <v>0</v>
      </c>
      <c r="K182" s="11">
        <f t="shared" si="63"/>
        <v>0</v>
      </c>
      <c r="L182" s="11">
        <f t="shared" si="64"/>
        <v>40978.389075728337</v>
      </c>
      <c r="M182" s="11">
        <f t="shared" si="54"/>
        <v>40978.389075728337</v>
      </c>
    </row>
    <row r="183" spans="1:13" x14ac:dyDescent="0.25">
      <c r="A183" s="7">
        <f t="shared" si="55"/>
        <v>159</v>
      </c>
      <c r="B183" s="11">
        <f t="shared" si="56"/>
        <v>0</v>
      </c>
      <c r="C183" s="11">
        <f t="shared" si="57"/>
        <v>0</v>
      </c>
      <c r="D183" s="11">
        <f t="shared" si="58"/>
        <v>41601.282539354936</v>
      </c>
      <c r="E183" s="11">
        <f t="shared" si="52"/>
        <v>41601.282539354936</v>
      </c>
      <c r="F183" s="11">
        <f t="shared" si="59"/>
        <v>0</v>
      </c>
      <c r="G183" s="11">
        <f t="shared" si="60"/>
        <v>0</v>
      </c>
      <c r="H183" s="11">
        <f t="shared" si="61"/>
        <v>42435.737130967216</v>
      </c>
      <c r="I183" s="11">
        <f t="shared" si="53"/>
        <v>42435.737130967216</v>
      </c>
      <c r="J183" s="11">
        <f t="shared" si="62"/>
        <v>0</v>
      </c>
      <c r="K183" s="11">
        <f t="shared" si="63"/>
        <v>0</v>
      </c>
      <c r="L183" s="11">
        <f t="shared" si="64"/>
        <v>42013.662322928059</v>
      </c>
      <c r="M183" s="11">
        <f t="shared" si="54"/>
        <v>42013.662322928059</v>
      </c>
    </row>
    <row r="184" spans="1:13" x14ac:dyDescent="0.25">
      <c r="A184" s="7">
        <f t="shared" si="55"/>
        <v>160</v>
      </c>
      <c r="B184" s="11">
        <f t="shared" si="56"/>
        <v>0</v>
      </c>
      <c r="C184" s="11">
        <f t="shared" si="57"/>
        <v>0</v>
      </c>
      <c r="D184" s="11">
        <f t="shared" si="58"/>
        <v>42639.980060577524</v>
      </c>
      <c r="E184" s="11">
        <f t="shared" ref="E184:E204" si="65">D184-B184</f>
        <v>42639.980060577524</v>
      </c>
      <c r="F184" s="11">
        <f t="shared" si="59"/>
        <v>0</v>
      </c>
      <c r="G184" s="11">
        <f t="shared" si="60"/>
        <v>0</v>
      </c>
      <c r="H184" s="11">
        <f t="shared" si="61"/>
        <v>43479.021955393589</v>
      </c>
      <c r="I184" s="11">
        <f t="shared" ref="I184:I204" si="66">H184-F184</f>
        <v>43479.021955393589</v>
      </c>
      <c r="J184" s="11">
        <f t="shared" si="62"/>
        <v>0</v>
      </c>
      <c r="K184" s="11">
        <f t="shared" si="63"/>
        <v>0</v>
      </c>
      <c r="L184" s="11">
        <f t="shared" si="64"/>
        <v>43054.626847198357</v>
      </c>
      <c r="M184" s="11">
        <f t="shared" ref="M184:M204" si="67">L184-J184</f>
        <v>43054.626847198357</v>
      </c>
    </row>
    <row r="185" spans="1:13" x14ac:dyDescent="0.25">
      <c r="A185" s="7">
        <f t="shared" ref="A185:A204" si="68">A184+1</f>
        <v>161</v>
      </c>
      <c r="B185" s="11">
        <f t="shared" ref="B185:B204" si="69">MAX(0,B184*(1+$B$18)-MIN(B184*(1+$B$18),$B$8+$B$9))</f>
        <v>0</v>
      </c>
      <c r="C185" s="11">
        <f t="shared" ref="C185:C204" si="70">B184*$B$18</f>
        <v>0</v>
      </c>
      <c r="D185" s="11">
        <f t="shared" ref="D185:D204" si="71">D184*(1+$B$19)+MAX(0,($B$8+$B$9)-B184*(1+$B$18))</f>
        <v>43684.387683361972</v>
      </c>
      <c r="E185" s="11">
        <f t="shared" si="65"/>
        <v>43684.387683361972</v>
      </c>
      <c r="F185" s="11">
        <f t="shared" ref="F185:F204" si="72">MAX(0,F184*(1+$B$18)-MIN(F184*(1+$B$18),$B$8))</f>
        <v>0</v>
      </c>
      <c r="G185" s="11">
        <f t="shared" ref="G185:G204" si="73">F184*$B$18</f>
        <v>0</v>
      </c>
      <c r="H185" s="11">
        <f t="shared" ref="H185:H204" si="74">H184*(1+$B$19)+$B$9+MAX(0,$B$8-F184*(1+$B$18))</f>
        <v>44528.042099471459</v>
      </c>
      <c r="I185" s="11">
        <f t="shared" si="66"/>
        <v>44528.042099471459</v>
      </c>
      <c r="J185" s="11">
        <f t="shared" ref="J185:J204" si="75">MAX(0,J184*(1+$B$18)-MIN(J184*(1+$B$18),$B$8+$B$9*$B$14))</f>
        <v>0</v>
      </c>
      <c r="K185" s="11">
        <f t="shared" ref="K185:K204" si="76">J184*$B$18</f>
        <v>0</v>
      </c>
      <c r="L185" s="11">
        <f t="shared" ref="L185:L204" si="77">L184*(1+$B$19)+IF(J184=0,$B$8+$B$9,$B$9*(1-$B$14)+MAX(0,($B$8+$B$9*$B$14)-J184*(1+$B$18)))</f>
        <v>44101.313935578451</v>
      </c>
      <c r="M185" s="11">
        <f t="shared" si="67"/>
        <v>44101.313935578451</v>
      </c>
    </row>
    <row r="186" spans="1:13" x14ac:dyDescent="0.25">
      <c r="A186" s="7">
        <f t="shared" si="68"/>
        <v>162</v>
      </c>
      <c r="B186" s="11">
        <f t="shared" si="69"/>
        <v>0</v>
      </c>
      <c r="C186" s="11">
        <f t="shared" si="70"/>
        <v>0</v>
      </c>
      <c r="D186" s="11">
        <f t="shared" si="71"/>
        <v>44734.536798232657</v>
      </c>
      <c r="E186" s="11">
        <f t="shared" si="65"/>
        <v>44734.536798232657</v>
      </c>
      <c r="F186" s="11">
        <f t="shared" si="72"/>
        <v>0</v>
      </c>
      <c r="G186" s="11">
        <f t="shared" si="73"/>
        <v>0</v>
      </c>
      <c r="H186" s="11">
        <f t="shared" si="74"/>
        <v>45582.82909235829</v>
      </c>
      <c r="I186" s="11">
        <f t="shared" si="66"/>
        <v>45582.82909235829</v>
      </c>
      <c r="J186" s="11">
        <f t="shared" si="75"/>
        <v>0</v>
      </c>
      <c r="K186" s="11">
        <f t="shared" si="76"/>
        <v>0</v>
      </c>
      <c r="L186" s="11">
        <f t="shared" si="77"/>
        <v>45153.755047103907</v>
      </c>
      <c r="M186" s="11">
        <f t="shared" si="67"/>
        <v>45153.755047103907</v>
      </c>
    </row>
    <row r="187" spans="1:13" x14ac:dyDescent="0.25">
      <c r="A187" s="7">
        <f t="shared" si="68"/>
        <v>163</v>
      </c>
      <c r="B187" s="11">
        <f t="shared" si="69"/>
        <v>0</v>
      </c>
      <c r="C187" s="11">
        <f t="shared" si="70"/>
        <v>0</v>
      </c>
      <c r="D187" s="11">
        <f t="shared" si="71"/>
        <v>45790.45896827917</v>
      </c>
      <c r="E187" s="11">
        <f t="shared" si="65"/>
        <v>45790.45896827917</v>
      </c>
      <c r="F187" s="11">
        <f t="shared" si="72"/>
        <v>0</v>
      </c>
      <c r="G187" s="11">
        <f t="shared" si="73"/>
        <v>0</v>
      </c>
      <c r="H187" s="11">
        <f t="shared" si="74"/>
        <v>46643.414636538888</v>
      </c>
      <c r="I187" s="11">
        <f t="shared" si="66"/>
        <v>46643.414636538888</v>
      </c>
      <c r="J187" s="11">
        <f t="shared" si="75"/>
        <v>0</v>
      </c>
      <c r="K187" s="11">
        <f t="shared" si="76"/>
        <v>0</v>
      </c>
      <c r="L187" s="11">
        <f t="shared" si="77"/>
        <v>46211.981813752158</v>
      </c>
      <c r="M187" s="11">
        <f t="shared" si="67"/>
        <v>46211.981813752158</v>
      </c>
    </row>
    <row r="188" spans="1:13" x14ac:dyDescent="0.25">
      <c r="A188" s="7">
        <f t="shared" si="68"/>
        <v>164</v>
      </c>
      <c r="B188" s="11">
        <f t="shared" si="69"/>
        <v>0</v>
      </c>
      <c r="C188" s="11">
        <f t="shared" si="70"/>
        <v>0</v>
      </c>
      <c r="D188" s="11">
        <f t="shared" si="71"/>
        <v>46852.185930105006</v>
      </c>
      <c r="E188" s="11">
        <f t="shared" si="65"/>
        <v>46852.185930105006</v>
      </c>
      <c r="F188" s="11">
        <f t="shared" si="72"/>
        <v>0</v>
      </c>
      <c r="G188" s="11">
        <f t="shared" si="73"/>
        <v>0</v>
      </c>
      <c r="H188" s="11">
        <f t="shared" si="74"/>
        <v>47709.830608778262</v>
      </c>
      <c r="I188" s="11">
        <f t="shared" si="66"/>
        <v>47709.830608778262</v>
      </c>
      <c r="J188" s="11">
        <f t="shared" si="75"/>
        <v>0</v>
      </c>
      <c r="K188" s="11">
        <f t="shared" si="76"/>
        <v>0</v>
      </c>
      <c r="L188" s="11">
        <f t="shared" si="77"/>
        <v>47276.026041393226</v>
      </c>
      <c r="M188" s="11">
        <f t="shared" si="67"/>
        <v>47276.026041393226</v>
      </c>
    </row>
    <row r="189" spans="1:13" x14ac:dyDescent="0.25">
      <c r="A189" s="7">
        <f t="shared" si="68"/>
        <v>165</v>
      </c>
      <c r="B189" s="11">
        <f t="shared" si="69"/>
        <v>0</v>
      </c>
      <c r="C189" s="11">
        <f t="shared" si="70"/>
        <v>0</v>
      </c>
      <c r="D189" s="11">
        <f t="shared" si="71"/>
        <v>47919.74959478141</v>
      </c>
      <c r="E189" s="11">
        <f t="shared" si="65"/>
        <v>47919.74959478141</v>
      </c>
      <c r="F189" s="11">
        <f t="shared" si="72"/>
        <v>0</v>
      </c>
      <c r="G189" s="11">
        <f t="shared" si="73"/>
        <v>0</v>
      </c>
      <c r="H189" s="11">
        <f t="shared" si="74"/>
        <v>48782.109061079704</v>
      </c>
      <c r="I189" s="11">
        <f t="shared" si="66"/>
        <v>48782.109061079704</v>
      </c>
      <c r="J189" s="11">
        <f t="shared" si="75"/>
        <v>0</v>
      </c>
      <c r="K189" s="11">
        <f t="shared" si="76"/>
        <v>0</v>
      </c>
      <c r="L189" s="11">
        <f t="shared" si="77"/>
        <v>48345.919710745678</v>
      </c>
      <c r="M189" s="11">
        <f t="shared" si="67"/>
        <v>48345.919710745678</v>
      </c>
    </row>
    <row r="190" spans="1:13" x14ac:dyDescent="0.25">
      <c r="A190" s="7">
        <f t="shared" si="68"/>
        <v>166</v>
      </c>
      <c r="B190" s="11">
        <f t="shared" si="69"/>
        <v>0</v>
      </c>
      <c r="C190" s="11">
        <f t="shared" si="70"/>
        <v>0</v>
      </c>
      <c r="D190" s="11">
        <f t="shared" si="71"/>
        <v>48993.182048806499</v>
      </c>
      <c r="E190" s="11">
        <f t="shared" si="65"/>
        <v>48993.182048806499</v>
      </c>
      <c r="F190" s="11">
        <f t="shared" si="72"/>
        <v>0</v>
      </c>
      <c r="G190" s="11">
        <f t="shared" si="73"/>
        <v>0</v>
      </c>
      <c r="H190" s="11">
        <f t="shared" si="74"/>
        <v>49860.282221648129</v>
      </c>
      <c r="I190" s="11">
        <f t="shared" si="66"/>
        <v>49860.282221648129</v>
      </c>
      <c r="J190" s="11">
        <f t="shared" si="75"/>
        <v>0</v>
      </c>
      <c r="K190" s="11">
        <f t="shared" si="76"/>
        <v>0</v>
      </c>
      <c r="L190" s="11">
        <f t="shared" si="77"/>
        <v>49421.69497833783</v>
      </c>
      <c r="M190" s="11">
        <f t="shared" si="67"/>
        <v>49421.69497833783</v>
      </c>
    </row>
    <row r="191" spans="1:13" x14ac:dyDescent="0.25">
      <c r="A191" s="7">
        <f t="shared" si="68"/>
        <v>167</v>
      </c>
      <c r="B191" s="11">
        <f t="shared" si="69"/>
        <v>0</v>
      </c>
      <c r="C191" s="11">
        <f t="shared" si="70"/>
        <v>0</v>
      </c>
      <c r="D191" s="11">
        <f t="shared" si="71"/>
        <v>50072.515555069658</v>
      </c>
      <c r="E191" s="11">
        <f t="shared" si="65"/>
        <v>50072.515555069658</v>
      </c>
      <c r="F191" s="11">
        <f t="shared" si="72"/>
        <v>0</v>
      </c>
      <c r="G191" s="11">
        <f t="shared" si="73"/>
        <v>0</v>
      </c>
      <c r="H191" s="11">
        <f t="shared" si="74"/>
        <v>50944.382495858721</v>
      </c>
      <c r="I191" s="11">
        <f t="shared" si="66"/>
        <v>50944.382495858721</v>
      </c>
      <c r="J191" s="11">
        <f t="shared" si="75"/>
        <v>0</v>
      </c>
      <c r="K191" s="11">
        <f t="shared" si="76"/>
        <v>0</v>
      </c>
      <c r="L191" s="11">
        <f t="shared" si="77"/>
        <v>50503.384177474232</v>
      </c>
      <c r="M191" s="11">
        <f t="shared" si="67"/>
        <v>50503.384177474232</v>
      </c>
    </row>
    <row r="192" spans="1:13" x14ac:dyDescent="0.25">
      <c r="A192" s="7">
        <f t="shared" si="68"/>
        <v>168</v>
      </c>
      <c r="B192" s="11">
        <f t="shared" si="69"/>
        <v>0</v>
      </c>
      <c r="C192" s="11">
        <f t="shared" si="70"/>
        <v>0</v>
      </c>
      <c r="D192" s="11">
        <f t="shared" si="71"/>
        <v>51157.782553821213</v>
      </c>
      <c r="E192" s="11">
        <f t="shared" si="65"/>
        <v>51157.782553821213</v>
      </c>
      <c r="F192" s="11">
        <f t="shared" si="72"/>
        <v>0</v>
      </c>
      <c r="G192" s="11">
        <f t="shared" si="73"/>
        <v>0</v>
      </c>
      <c r="H192" s="11">
        <f t="shared" si="74"/>
        <v>52034.442467230911</v>
      </c>
      <c r="I192" s="11">
        <f t="shared" si="66"/>
        <v>52034.442467230911</v>
      </c>
      <c r="J192" s="11">
        <f t="shared" si="75"/>
        <v>0</v>
      </c>
      <c r="K192" s="11">
        <f t="shared" si="76"/>
        <v>0</v>
      </c>
      <c r="L192" s="11">
        <f t="shared" si="77"/>
        <v>51591.019819207489</v>
      </c>
      <c r="M192" s="11">
        <f t="shared" si="67"/>
        <v>51591.019819207489</v>
      </c>
    </row>
    <row r="193" spans="1:18" x14ac:dyDescent="0.25">
      <c r="A193" s="7">
        <f t="shared" si="68"/>
        <v>169</v>
      </c>
      <c r="B193" s="11">
        <f t="shared" si="69"/>
        <v>0</v>
      </c>
      <c r="C193" s="11">
        <f t="shared" si="70"/>
        <v>0</v>
      </c>
      <c r="D193" s="11">
        <f t="shared" si="71"/>
        <v>52249.015663647457</v>
      </c>
      <c r="E193" s="11">
        <f t="shared" si="65"/>
        <v>52249.015663647457</v>
      </c>
      <c r="F193" s="11">
        <f t="shared" si="72"/>
        <v>0</v>
      </c>
      <c r="G193" s="11">
        <f t="shared" si="73"/>
        <v>0</v>
      </c>
      <c r="H193" s="11">
        <f t="shared" si="74"/>
        <v>53130.494898407698</v>
      </c>
      <c r="I193" s="11">
        <f t="shared" si="66"/>
        <v>53130.494898407698</v>
      </c>
      <c r="J193" s="11">
        <f t="shared" si="75"/>
        <v>0</v>
      </c>
      <c r="K193" s="11">
        <f t="shared" si="76"/>
        <v>0</v>
      </c>
      <c r="L193" s="11">
        <f t="shared" si="77"/>
        <v>52684.634593315386</v>
      </c>
      <c r="M193" s="11">
        <f t="shared" si="67"/>
        <v>52684.634593315386</v>
      </c>
    </row>
    <row r="194" spans="1:18" x14ac:dyDescent="0.25">
      <c r="A194" s="7">
        <f t="shared" si="68"/>
        <v>170</v>
      </c>
      <c r="B194" s="11">
        <f t="shared" si="69"/>
        <v>0</v>
      </c>
      <c r="C194" s="11">
        <f t="shared" si="70"/>
        <v>0</v>
      </c>
      <c r="D194" s="11">
        <f t="shared" si="71"/>
        <v>53346.247682451016</v>
      </c>
      <c r="E194" s="11">
        <f t="shared" si="65"/>
        <v>53346.247682451016</v>
      </c>
      <c r="F194" s="11">
        <f t="shared" si="72"/>
        <v>0</v>
      </c>
      <c r="G194" s="11">
        <f t="shared" si="73"/>
        <v>0</v>
      </c>
      <c r="H194" s="11">
        <f t="shared" si="74"/>
        <v>54232.572732140354</v>
      </c>
      <c r="I194" s="11">
        <f t="shared" si="66"/>
        <v>54232.572732140354</v>
      </c>
      <c r="J194" s="11">
        <f t="shared" si="75"/>
        <v>0</v>
      </c>
      <c r="K194" s="11">
        <f t="shared" si="76"/>
        <v>0</v>
      </c>
      <c r="L194" s="11">
        <f t="shared" si="77"/>
        <v>53784.261369283427</v>
      </c>
      <c r="M194" s="11">
        <f t="shared" si="67"/>
        <v>53784.261369283427</v>
      </c>
    </row>
    <row r="195" spans="1:18" x14ac:dyDescent="0.25">
      <c r="A195" s="7">
        <f t="shared" si="68"/>
        <v>171</v>
      </c>
      <c r="B195" s="11">
        <f t="shared" si="69"/>
        <v>0</v>
      </c>
      <c r="C195" s="11">
        <f t="shared" si="70"/>
        <v>0</v>
      </c>
      <c r="D195" s="11">
        <f t="shared" si="71"/>
        <v>54449.511588436639</v>
      </c>
      <c r="E195" s="11">
        <f t="shared" si="65"/>
        <v>54449.511588436639</v>
      </c>
      <c r="F195" s="11">
        <f t="shared" si="72"/>
        <v>0</v>
      </c>
      <c r="G195" s="11">
        <f t="shared" si="73"/>
        <v>0</v>
      </c>
      <c r="H195" s="11">
        <f t="shared" si="74"/>
        <v>55340.70909227855</v>
      </c>
      <c r="I195" s="11">
        <f t="shared" si="66"/>
        <v>55340.70909227855</v>
      </c>
      <c r="J195" s="11">
        <f t="shared" si="75"/>
        <v>0</v>
      </c>
      <c r="K195" s="11">
        <f t="shared" si="76"/>
        <v>0</v>
      </c>
      <c r="L195" s="11">
        <f t="shared" si="77"/>
        <v>54889.933197292732</v>
      </c>
      <c r="M195" s="11">
        <f t="shared" si="67"/>
        <v>54889.933197292732</v>
      </c>
    </row>
    <row r="196" spans="1:18" x14ac:dyDescent="0.25">
      <c r="A196" s="7">
        <f t="shared" si="68"/>
        <v>172</v>
      </c>
      <c r="B196" s="11">
        <f t="shared" si="69"/>
        <v>0</v>
      </c>
      <c r="C196" s="11">
        <f t="shared" si="70"/>
        <v>0</v>
      </c>
      <c r="D196" s="11">
        <f t="shared" si="71"/>
        <v>55558.840541102363</v>
      </c>
      <c r="E196" s="11">
        <f t="shared" si="65"/>
        <v>55558.840541102363</v>
      </c>
      <c r="F196" s="11">
        <f t="shared" si="72"/>
        <v>0</v>
      </c>
      <c r="G196" s="11">
        <f t="shared" si="73"/>
        <v>0</v>
      </c>
      <c r="H196" s="11">
        <f t="shared" si="74"/>
        <v>56454.937284765918</v>
      </c>
      <c r="I196" s="11">
        <f t="shared" si="66"/>
        <v>56454.937284765918</v>
      </c>
      <c r="J196" s="11">
        <f t="shared" si="75"/>
        <v>0</v>
      </c>
      <c r="K196" s="11">
        <f t="shared" si="76"/>
        <v>0</v>
      </c>
      <c r="L196" s="11">
        <f t="shared" si="77"/>
        <v>56001.683309213411</v>
      </c>
      <c r="M196" s="11">
        <f t="shared" si="67"/>
        <v>56001.683309213411</v>
      </c>
    </row>
    <row r="197" spans="1:18" x14ac:dyDescent="0.25">
      <c r="A197" s="7">
        <f t="shared" si="68"/>
        <v>173</v>
      </c>
      <c r="B197" s="11">
        <f t="shared" si="69"/>
        <v>0</v>
      </c>
      <c r="C197" s="11">
        <f t="shared" si="70"/>
        <v>0</v>
      </c>
      <c r="D197" s="11">
        <f t="shared" si="71"/>
        <v>56674.267882236156</v>
      </c>
      <c r="E197" s="11">
        <f t="shared" si="65"/>
        <v>56674.267882236156</v>
      </c>
      <c r="F197" s="11">
        <f t="shared" si="72"/>
        <v>0</v>
      </c>
      <c r="G197" s="11">
        <f t="shared" si="73"/>
        <v>0</v>
      </c>
      <c r="H197" s="11">
        <f t="shared" si="74"/>
        <v>57575.290798641086</v>
      </c>
      <c r="I197" s="11">
        <f t="shared" si="66"/>
        <v>57575.290798641086</v>
      </c>
      <c r="J197" s="11">
        <f t="shared" si="75"/>
        <v>0</v>
      </c>
      <c r="K197" s="11">
        <f t="shared" si="76"/>
        <v>0</v>
      </c>
      <c r="L197" s="11">
        <f t="shared" si="77"/>
        <v>57119.545119603354</v>
      </c>
      <c r="M197" s="11">
        <f t="shared" si="67"/>
        <v>57119.545119603354</v>
      </c>
    </row>
    <row r="198" spans="1:18" x14ac:dyDescent="0.25">
      <c r="A198" s="7">
        <f t="shared" si="68"/>
        <v>174</v>
      </c>
      <c r="B198" s="11">
        <f t="shared" si="69"/>
        <v>0</v>
      </c>
      <c r="C198" s="11">
        <f t="shared" si="70"/>
        <v>0</v>
      </c>
      <c r="D198" s="11">
        <f t="shared" si="71"/>
        <v>57795.827136918044</v>
      </c>
      <c r="E198" s="11">
        <f t="shared" si="65"/>
        <v>57795.827136918044</v>
      </c>
      <c r="F198" s="11">
        <f t="shared" si="72"/>
        <v>0</v>
      </c>
      <c r="G198" s="11">
        <f t="shared" si="73"/>
        <v>0</v>
      </c>
      <c r="H198" s="11">
        <f t="shared" si="74"/>
        <v>58701.803307044218</v>
      </c>
      <c r="I198" s="11">
        <f t="shared" si="66"/>
        <v>58701.803307044218</v>
      </c>
      <c r="J198" s="11">
        <f t="shared" si="75"/>
        <v>0</v>
      </c>
      <c r="K198" s="11">
        <f t="shared" si="76"/>
        <v>0</v>
      </c>
      <c r="L198" s="11">
        <f t="shared" si="77"/>
        <v>58243.552226712542</v>
      </c>
      <c r="M198" s="11">
        <f t="shared" si="67"/>
        <v>58243.552226712542</v>
      </c>
    </row>
    <row r="199" spans="1:18" x14ac:dyDescent="0.25">
      <c r="A199" s="7">
        <f t="shared" si="68"/>
        <v>175</v>
      </c>
      <c r="B199" s="11">
        <f t="shared" si="69"/>
        <v>0</v>
      </c>
      <c r="C199" s="11">
        <f t="shared" si="70"/>
        <v>0</v>
      </c>
      <c r="D199" s="11">
        <f t="shared" si="71"/>
        <v>58923.552014527719</v>
      </c>
      <c r="E199" s="11">
        <f t="shared" si="65"/>
        <v>58923.552014527719</v>
      </c>
      <c r="F199" s="11">
        <f t="shared" si="72"/>
        <v>0</v>
      </c>
      <c r="G199" s="11">
        <f t="shared" si="73"/>
        <v>0</v>
      </c>
      <c r="H199" s="11">
        <f t="shared" si="74"/>
        <v>59834.5086682291</v>
      </c>
      <c r="I199" s="11">
        <f t="shared" si="66"/>
        <v>59834.5086682291</v>
      </c>
      <c r="J199" s="11">
        <f t="shared" si="75"/>
        <v>0</v>
      </c>
      <c r="K199" s="11">
        <f t="shared" si="76"/>
        <v>0</v>
      </c>
      <c r="L199" s="11">
        <f t="shared" si="77"/>
        <v>59373.738413492872</v>
      </c>
      <c r="M199" s="11">
        <f t="shared" si="67"/>
        <v>59373.738413492872</v>
      </c>
    </row>
    <row r="200" spans="1:18" x14ac:dyDescent="0.25">
      <c r="A200" s="7">
        <f t="shared" si="68"/>
        <v>176</v>
      </c>
      <c r="B200" s="11">
        <f t="shared" si="69"/>
        <v>0</v>
      </c>
      <c r="C200" s="11">
        <f t="shared" si="70"/>
        <v>0</v>
      </c>
      <c r="D200" s="11">
        <f t="shared" si="71"/>
        <v>60057.476409757706</v>
      </c>
      <c r="E200" s="11">
        <f t="shared" si="65"/>
        <v>60057.476409757706</v>
      </c>
      <c r="F200" s="11">
        <f t="shared" si="72"/>
        <v>0</v>
      </c>
      <c r="G200" s="11">
        <f t="shared" si="73"/>
        <v>0</v>
      </c>
      <c r="H200" s="11">
        <f t="shared" si="74"/>
        <v>60973.440926580755</v>
      </c>
      <c r="I200" s="11">
        <f t="shared" si="66"/>
        <v>60973.440926580755</v>
      </c>
      <c r="J200" s="11">
        <f t="shared" si="75"/>
        <v>0</v>
      </c>
      <c r="K200" s="11">
        <f t="shared" si="76"/>
        <v>0</v>
      </c>
      <c r="L200" s="11">
        <f t="shared" si="77"/>
        <v>60510.137648613534</v>
      </c>
      <c r="M200" s="11">
        <f t="shared" si="67"/>
        <v>60510.137648613534</v>
      </c>
    </row>
    <row r="201" spans="1:18" x14ac:dyDescent="0.25">
      <c r="A201" s="7">
        <f t="shared" si="68"/>
        <v>177</v>
      </c>
      <c r="B201" s="11">
        <f t="shared" si="69"/>
        <v>0</v>
      </c>
      <c r="C201" s="11">
        <f t="shared" si="70"/>
        <v>0</v>
      </c>
      <c r="D201" s="11">
        <f t="shared" si="71"/>
        <v>61197.634403632102</v>
      </c>
      <c r="E201" s="11">
        <f t="shared" si="65"/>
        <v>61197.634403632102</v>
      </c>
      <c r="F201" s="11">
        <f t="shared" si="72"/>
        <v>0</v>
      </c>
      <c r="G201" s="11">
        <f t="shared" si="73"/>
        <v>0</v>
      </c>
      <c r="H201" s="11">
        <f t="shared" si="74"/>
        <v>62118.634313638693</v>
      </c>
      <c r="I201" s="11">
        <f t="shared" si="66"/>
        <v>62118.634313638693</v>
      </c>
      <c r="J201" s="11">
        <f t="shared" si="75"/>
        <v>0</v>
      </c>
      <c r="K201" s="11">
        <f t="shared" si="76"/>
        <v>0</v>
      </c>
      <c r="L201" s="11">
        <f t="shared" si="77"/>
        <v>61652.784087481952</v>
      </c>
      <c r="M201" s="11">
        <f t="shared" si="67"/>
        <v>61652.784087481952</v>
      </c>
    </row>
    <row r="202" spans="1:18" x14ac:dyDescent="0.25">
      <c r="A202" s="7">
        <f t="shared" si="68"/>
        <v>178</v>
      </c>
      <c r="B202" s="11">
        <f t="shared" si="69"/>
        <v>0</v>
      </c>
      <c r="C202" s="11">
        <f t="shared" si="70"/>
        <v>0</v>
      </c>
      <c r="D202" s="11">
        <f t="shared" si="71"/>
        <v>62344.060264530905</v>
      </c>
      <c r="E202" s="11">
        <f t="shared" si="65"/>
        <v>62344.060264530905</v>
      </c>
      <c r="F202" s="11">
        <f t="shared" si="72"/>
        <v>0</v>
      </c>
      <c r="G202" s="11">
        <f t="shared" si="73"/>
        <v>0</v>
      </c>
      <c r="H202" s="11">
        <f t="shared" si="74"/>
        <v>63270.123249125769</v>
      </c>
      <c r="I202" s="11">
        <f t="shared" si="66"/>
        <v>63270.123249125769</v>
      </c>
      <c r="J202" s="11">
        <f t="shared" si="75"/>
        <v>0</v>
      </c>
      <c r="K202" s="11">
        <f t="shared" si="76"/>
        <v>0</v>
      </c>
      <c r="L202" s="11">
        <f t="shared" si="77"/>
        <v>62801.71207327037</v>
      </c>
      <c r="M202" s="11">
        <f t="shared" si="67"/>
        <v>62801.71207327037</v>
      </c>
    </row>
    <row r="203" spans="1:18" x14ac:dyDescent="0.25">
      <c r="A203" s="7">
        <f t="shared" si="68"/>
        <v>179</v>
      </c>
      <c r="B203" s="11">
        <f t="shared" si="69"/>
        <v>0</v>
      </c>
      <c r="C203" s="11">
        <f t="shared" si="70"/>
        <v>0</v>
      </c>
      <c r="D203" s="11">
        <f t="shared" si="71"/>
        <v>63496.788449219959</v>
      </c>
      <c r="E203" s="11">
        <f t="shared" si="65"/>
        <v>63496.788449219959</v>
      </c>
      <c r="F203" s="11">
        <f t="shared" si="72"/>
        <v>0</v>
      </c>
      <c r="G203" s="11">
        <f t="shared" si="73"/>
        <v>0</v>
      </c>
      <c r="H203" s="11">
        <f t="shared" si="74"/>
        <v>64427.942341982678</v>
      </c>
      <c r="I203" s="11">
        <f t="shared" si="66"/>
        <v>64427.942341982678</v>
      </c>
      <c r="J203" s="11">
        <f t="shared" si="75"/>
        <v>0</v>
      </c>
      <c r="K203" s="11">
        <f t="shared" si="76"/>
        <v>0</v>
      </c>
      <c r="L203" s="11">
        <f t="shared" si="77"/>
        <v>63956.956137948051</v>
      </c>
      <c r="M203" s="11">
        <f t="shared" si="67"/>
        <v>63956.956137948051</v>
      </c>
    </row>
    <row r="204" spans="1:18" x14ac:dyDescent="0.25">
      <c r="A204" s="7">
        <f t="shared" si="68"/>
        <v>180</v>
      </c>
      <c r="B204" s="11">
        <f t="shared" si="69"/>
        <v>0</v>
      </c>
      <c r="C204" s="11">
        <f t="shared" si="70"/>
        <v>0</v>
      </c>
      <c r="D204" s="11">
        <f t="shared" si="71"/>
        <v>64655.853603886622</v>
      </c>
      <c r="E204" s="11">
        <f t="shared" si="65"/>
        <v>64655.853603886622</v>
      </c>
      <c r="F204" s="11">
        <f t="shared" si="72"/>
        <v>0</v>
      </c>
      <c r="G204" s="11">
        <f t="shared" si="73"/>
        <v>0</v>
      </c>
      <c r="H204" s="11">
        <f t="shared" si="74"/>
        <v>65592.126391408179</v>
      </c>
      <c r="I204" s="11">
        <f t="shared" si="66"/>
        <v>65592.126391408179</v>
      </c>
      <c r="J204" s="11">
        <f t="shared" si="75"/>
        <v>0</v>
      </c>
      <c r="K204" s="11">
        <f t="shared" si="76"/>
        <v>0</v>
      </c>
      <c r="L204" s="11">
        <f t="shared" si="77"/>
        <v>65118.551003319168</v>
      </c>
      <c r="M204" s="11">
        <f t="shared" si="67"/>
        <v>65118.551003319168</v>
      </c>
    </row>
    <row r="207" spans="1:18" x14ac:dyDescent="0.25">
      <c r="O207" s="2" t="s">
        <v>50</v>
      </c>
      <c r="P207" s="2" t="s">
        <v>63</v>
      </c>
      <c r="Q207" s="2" t="s">
        <v>64</v>
      </c>
      <c r="R207" s="2" t="s">
        <v>65</v>
      </c>
    </row>
    <row r="208" spans="1:18" x14ac:dyDescent="0.25">
      <c r="O208" s="2">
        <v>0</v>
      </c>
      <c r="P208" s="2">
        <f>INDEX($E$24:$E$204,1)</f>
        <v>-83351</v>
      </c>
      <c r="Q208" s="2">
        <f>INDEX($I$24:$I$204,1)</f>
        <v>-83351</v>
      </c>
      <c r="R208" s="2">
        <f>INDEX($M$24:$M$204,1)</f>
        <v>-83351</v>
      </c>
    </row>
    <row r="209" spans="15:18" x14ac:dyDescent="0.25">
      <c r="O209" s="2">
        <v>1</v>
      </c>
      <c r="P209" s="2">
        <f>INDEX($E$24:$E$204,2)</f>
        <v>-82687.863680086288</v>
      </c>
      <c r="Q209" s="2">
        <f>INDEX($I$24:$I$204,2)</f>
        <v>-82687.863680086288</v>
      </c>
      <c r="R209" s="2">
        <f>INDEX($M$24:$M$204,2)</f>
        <v>-82687.863680086288</v>
      </c>
    </row>
    <row r="210" spans="15:18" x14ac:dyDescent="0.25">
      <c r="O210" s="2">
        <v>2</v>
      </c>
      <c r="P210" s="2">
        <f>INDEX($E$24:$E$204,3)</f>
        <v>-82023.558920197756</v>
      </c>
      <c r="Q210" s="2">
        <f>INDEX($I$24:$I$204,3)</f>
        <v>-82023.484212668482</v>
      </c>
      <c r="R210" s="2">
        <f>INDEX($M$24:$M$204,3)</f>
        <v>-82023.521566433134</v>
      </c>
    </row>
    <row r="211" spans="15:18" x14ac:dyDescent="0.25">
      <c r="O211" s="2">
        <v>3</v>
      </c>
      <c r="P211" s="2">
        <f>INDEX($E$24:$E$204,4)</f>
        <v>-81358.083661554134</v>
      </c>
      <c r="Q211" s="2">
        <f>INDEX($I$24:$I$204,4)</f>
        <v>-81357.858996637646</v>
      </c>
      <c r="R211" s="2">
        <f>INDEX($M$24:$M$204,4)</f>
        <v>-81357.97132909589</v>
      </c>
    </row>
    <row r="212" spans="15:18" x14ac:dyDescent="0.25">
      <c r="O212" s="2">
        <v>4</v>
      </c>
      <c r="P212" s="2">
        <f>INDEX($E$24:$E$204,5)</f>
        <v>-80691.435841747589</v>
      </c>
      <c r="Q212" s="2">
        <f>INDEX($I$24:$I$204,5)</f>
        <v>-80690.985424043945</v>
      </c>
      <c r="R212" s="2">
        <f>INDEX($M$24:$M$204,5)</f>
        <v>-80691.21063289576</v>
      </c>
    </row>
    <row r="213" spans="15:18" x14ac:dyDescent="0.25">
      <c r="O213" s="2">
        <v>5</v>
      </c>
      <c r="P213" s="2">
        <f>INDEX($E$24:$E$204,6)</f>
        <v>-80023.613394736341</v>
      </c>
      <c r="Q213" s="2">
        <f>INDEX($I$24:$I$204,6)</f>
        <v>-80022.860880072214</v>
      </c>
      <c r="R213" s="2">
        <f>INDEX($M$24:$M$204,6)</f>
        <v>-80023.23713740427</v>
      </c>
    </row>
    <row r="214" spans="15:18" x14ac:dyDescent="0.25">
      <c r="O214" s="2">
        <v>6</v>
      </c>
      <c r="P214" s="2">
        <f>INDEX($E$24:$E$204,7)</f>
        <v>-79354.614250838291</v>
      </c>
      <c r="Q214" s="2">
        <f>INDEX($I$24:$I$204,7)</f>
        <v>-79353.48274301739</v>
      </c>
      <c r="R214" s="2">
        <f>INDEX($M$24:$M$204,7)</f>
        <v>-79354.048496927833</v>
      </c>
    </row>
    <row r="215" spans="15:18" x14ac:dyDescent="0.25">
      <c r="O215" s="2">
        <v>7</v>
      </c>
      <c r="P215" s="2">
        <f>INDEX($E$24:$E$204,8)</f>
        <v>-78684.436336724553</v>
      </c>
      <c r="Q215" s="2">
        <f>INDEX($I$24:$I$204,8)</f>
        <v>-78682.848384259822</v>
      </c>
      <c r="R215" s="2">
        <f>INDEX($M$24:$M$204,8)</f>
        <v>-78683.642360492173</v>
      </c>
    </row>
    <row r="216" spans="15:18" x14ac:dyDescent="0.25">
      <c r="O216" s="2">
        <v>8</v>
      </c>
      <c r="P216" s="2">
        <f>INDEX($E$24:$E$204,9)</f>
        <v>-78013.077575413074</v>
      </c>
      <c r="Q216" s="2">
        <f>INDEX($I$24:$I$204,9)</f>
        <v>-78010.955168240413</v>
      </c>
      <c r="R216" s="2">
        <f>INDEX($M$24:$M$204,9)</f>
        <v>-78012.016371826743</v>
      </c>
    </row>
    <row r="217" spans="15:18" x14ac:dyDescent="0.25">
      <c r="O217" s="2">
        <v>9</v>
      </c>
      <c r="P217" s="2">
        <f>INDEX($E$24:$E$204,10)</f>
        <v>-77340.535886262165</v>
      </c>
      <c r="Q217" s="2">
        <f>INDEX($I$24:$I$204,10)</f>
        <v>-77337.800452435811</v>
      </c>
      <c r="R217" s="2">
        <f>INDEX($M$24:$M$204,10)</f>
        <v>-77339.168169348981</v>
      </c>
    </row>
    <row r="218" spans="15:18" x14ac:dyDescent="0.25">
      <c r="O218" s="2">
        <v>10</v>
      </c>
      <c r="P218" s="2">
        <f>INDEX($E$24:$E$204,11)</f>
        <v>-76666.809184964062</v>
      </c>
      <c r="Q218" s="2">
        <f>INDEX($I$24:$I$204,11)</f>
        <v>-76663.381587333293</v>
      </c>
      <c r="R218" s="2">
        <f>INDEX($M$24:$M$204,11)</f>
        <v>-76665.095386148678</v>
      </c>
    </row>
    <row r="219" spans="15:18" x14ac:dyDescent="0.25">
      <c r="O219" s="2">
        <v>11</v>
      </c>
      <c r="P219" s="2">
        <f>INDEX($E$24:$E$204,12)</f>
        <v>-75991.895383538489</v>
      </c>
      <c r="Q219" s="2">
        <f>INDEX($I$24:$I$204,12)</f>
        <v>-75987.695916405632</v>
      </c>
      <c r="R219" s="2">
        <f>INDEX($M$24:$M$204,12)</f>
        <v>-75989.79564997206</v>
      </c>
    </row>
    <row r="220" spans="15:18" x14ac:dyDescent="0.25">
      <c r="O220" s="2">
        <v>12</v>
      </c>
      <c r="P220" s="2">
        <f>INDEX($E$24:$E$204,13)</f>
        <v>-75315.792390326154</v>
      </c>
      <c r="Q220" s="2">
        <f>INDEX($I$24:$I$204,13)</f>
        <v>-75310.740776085906</v>
      </c>
      <c r="R220" s="2">
        <f>INDEX($M$24:$M$204,13)</f>
        <v>-75313.26658320603</v>
      </c>
    </row>
  </sheetData>
  <mergeCells count="3">
    <mergeCell ref="D16:H18"/>
    <mergeCell ref="A2:M3"/>
    <mergeCell ref="A1:M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9"/>
  <sheetViews>
    <sheetView topLeftCell="C1" workbookViewId="0">
      <selection activeCell="I40" sqref="I40"/>
    </sheetView>
  </sheetViews>
  <sheetFormatPr defaultRowHeight="14.3" x14ac:dyDescent="0.25"/>
  <cols>
    <col min="1" max="1" width="36.5" customWidth="1"/>
    <col min="2" max="2" width="16" customWidth="1"/>
    <col min="3" max="3" width="10" customWidth="1"/>
    <col min="4" max="4" width="12" customWidth="1"/>
    <col min="5" max="5" width="10" customWidth="1"/>
    <col min="6" max="6" width="11" customWidth="1"/>
    <col min="7" max="7" width="12" customWidth="1"/>
    <col min="8" max="8" width="20" customWidth="1"/>
    <col min="9" max="9" width="18" customWidth="1"/>
    <col min="10" max="15" width="12" customWidth="1"/>
    <col min="16" max="16" width="11" customWidth="1"/>
    <col min="17" max="17" width="13" customWidth="1"/>
    <col min="18" max="18" width="12" customWidth="1"/>
    <col min="20" max="20" width="18" customWidth="1"/>
    <col min="21" max="22" width="14" customWidth="1"/>
    <col min="23" max="23" width="18" customWidth="1"/>
  </cols>
  <sheetData>
    <row r="1" spans="1:21" ht="21.1" x14ac:dyDescent="0.25">
      <c r="A1" s="21" t="s">
        <v>66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21" x14ac:dyDescent="0.25">
      <c r="A2" s="22" t="s">
        <v>67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2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5" spans="1:21" x14ac:dyDescent="0.25">
      <c r="A5" s="6" t="s">
        <v>68</v>
      </c>
    </row>
    <row r="6" spans="1:21" x14ac:dyDescent="0.25">
      <c r="A6" s="5" t="s">
        <v>69</v>
      </c>
      <c r="B6" s="10">
        <v>0.05</v>
      </c>
    </row>
    <row r="7" spans="1:21" x14ac:dyDescent="0.25">
      <c r="A7" s="5" t="s">
        <v>70</v>
      </c>
      <c r="B7" s="10">
        <v>7.0000000000000007E-2</v>
      </c>
    </row>
    <row r="8" spans="1:21" x14ac:dyDescent="0.25">
      <c r="A8" s="5" t="s">
        <v>71</v>
      </c>
      <c r="B8" s="10">
        <v>0.02</v>
      </c>
    </row>
    <row r="9" spans="1:21" x14ac:dyDescent="0.25">
      <c r="A9" s="5" t="s">
        <v>72</v>
      </c>
      <c r="B9" s="13">
        <v>10</v>
      </c>
    </row>
    <row r="10" spans="1:21" ht="42.8" x14ac:dyDescent="0.25">
      <c r="A10" s="1" t="s">
        <v>73</v>
      </c>
      <c r="B10" s="14" t="s">
        <v>74</v>
      </c>
      <c r="C10" s="1" t="s">
        <v>75</v>
      </c>
      <c r="D10" s="1" t="s">
        <v>76</v>
      </c>
      <c r="E10" s="1" t="s">
        <v>77</v>
      </c>
      <c r="F10" s="1" t="s">
        <v>78</v>
      </c>
      <c r="G10" s="1" t="s">
        <v>79</v>
      </c>
      <c r="H10" s="1" t="s">
        <v>80</v>
      </c>
      <c r="I10" s="1" t="s">
        <v>81</v>
      </c>
      <c r="J10" s="1" t="s">
        <v>82</v>
      </c>
      <c r="K10" s="1" t="s">
        <v>83</v>
      </c>
      <c r="L10" s="1" t="s">
        <v>84</v>
      </c>
      <c r="M10" s="1" t="s">
        <v>85</v>
      </c>
      <c r="N10" s="1" t="s">
        <v>86</v>
      </c>
      <c r="O10" s="1" t="s">
        <v>87</v>
      </c>
      <c r="P10" s="1" t="s">
        <v>88</v>
      </c>
      <c r="Q10" s="1" t="s">
        <v>89</v>
      </c>
      <c r="R10" s="1" t="s">
        <v>90</v>
      </c>
      <c r="T10" s="1" t="s">
        <v>74</v>
      </c>
      <c r="U10" s="1" t="s">
        <v>91</v>
      </c>
    </row>
    <row r="11" spans="1:21" hidden="1" x14ac:dyDescent="0.25">
      <c r="A11" s="15" t="s">
        <v>92</v>
      </c>
      <c r="B11" s="9" t="s">
        <v>93</v>
      </c>
      <c r="C11" s="9">
        <v>249</v>
      </c>
      <c r="D11" s="8" t="s">
        <v>94</v>
      </c>
      <c r="E11" s="8">
        <v>1</v>
      </c>
      <c r="F11" s="10">
        <f t="shared" ref="F11:F25" si="0">$B$8</f>
        <v>0.02</v>
      </c>
      <c r="G11" s="8">
        <v>20</v>
      </c>
      <c r="H11" s="8" t="s">
        <v>95</v>
      </c>
      <c r="I11" s="8" t="s">
        <v>96</v>
      </c>
      <c r="J11" s="11">
        <f t="shared" ref="J11:J25" si="1">IF(D11="Annual",C11/12,C11)</f>
        <v>249</v>
      </c>
      <c r="K11" s="11">
        <f t="shared" ref="K11:K25" si="2">J11*12</f>
        <v>2988</v>
      </c>
      <c r="L11" s="11">
        <f t="shared" ref="L11:L25" si="3">IF(D11="Annual",C11,J11*MAX(0,13-E11))</f>
        <v>2988</v>
      </c>
      <c r="M11" s="11">
        <f t="shared" ref="M11:M25" si="4">IF(F11=0,K11*5,K11*(((1+F11)^5)-1)/F11)</f>
        <v>15549.671998080003</v>
      </c>
      <c r="N11" s="11">
        <f t="shared" ref="N11:N25" si="5">IF(F11=0,K11*$B$9,K11*(((1+F11)^$B$9)-1)/F11)</f>
        <v>32717.766347216711</v>
      </c>
      <c r="O11" s="11">
        <f t="shared" ref="O11:O25" si="6">SUMPRODUCT((ROW($A$1:$A$10)&lt;=$B$9)*((1+F11)^(ROW($A$1:$A$10)-1))/((1+$B$6)^(ROW($A$1:$A$10))))*K11</f>
        <v>25063.659689469579</v>
      </c>
      <c r="P11" s="7">
        <f t="shared" ref="P11:P25" si="7">IF(G11=0,"",J11/G11)</f>
        <v>12.45</v>
      </c>
      <c r="Q11" s="11">
        <f t="shared" ref="Q11:Q25" si="8">IF($B$7=0,K11*$B$9,K11*(((1+$B$7)^$B$9)-1)/$B$7)</f>
        <v>41283.546508303167</v>
      </c>
      <c r="R11" s="7">
        <f t="shared" ref="R11:R25" si="9">K11*IF(H11="Unused",3,IF(H11="Nice-to-have",2,1))*IF(OR(G11&lt;=1,P11&gt;100),1.5,1)</f>
        <v>5976</v>
      </c>
      <c r="T11" s="2" t="s">
        <v>93</v>
      </c>
      <c r="U11" s="11">
        <f t="shared" ref="U11:U17" si="10">SUMIF($B$11:$B$25,T11,$K$11:$K$25)</f>
        <v>8352</v>
      </c>
    </row>
    <row r="12" spans="1:21" hidden="1" x14ac:dyDescent="0.25">
      <c r="A12" s="15" t="s">
        <v>97</v>
      </c>
      <c r="B12" s="9" t="s">
        <v>93</v>
      </c>
      <c r="C12" s="9">
        <v>119</v>
      </c>
      <c r="D12" s="8" t="s">
        <v>94</v>
      </c>
      <c r="E12" s="8">
        <v>1</v>
      </c>
      <c r="F12" s="10">
        <f t="shared" si="0"/>
        <v>0.02</v>
      </c>
      <c r="G12" s="8">
        <v>20</v>
      </c>
      <c r="H12" s="8" t="s">
        <v>98</v>
      </c>
      <c r="I12" s="8" t="s">
        <v>96</v>
      </c>
      <c r="J12" s="11">
        <f t="shared" si="1"/>
        <v>119</v>
      </c>
      <c r="K12" s="11">
        <f t="shared" si="2"/>
        <v>1428</v>
      </c>
      <c r="L12" s="11">
        <f t="shared" si="3"/>
        <v>1428</v>
      </c>
      <c r="M12" s="11">
        <f t="shared" si="4"/>
        <v>7431.3693484800015</v>
      </c>
      <c r="N12" s="11">
        <f t="shared" si="5"/>
        <v>15636.201587625657</v>
      </c>
      <c r="O12" s="11">
        <f t="shared" si="6"/>
        <v>11978.214871674218</v>
      </c>
      <c r="P12" s="7">
        <f t="shared" si="7"/>
        <v>5.95</v>
      </c>
      <c r="Q12" s="11">
        <f t="shared" si="8"/>
        <v>19729.887688707135</v>
      </c>
      <c r="R12" s="7">
        <f t="shared" si="9"/>
        <v>1428</v>
      </c>
      <c r="T12" s="2" t="s">
        <v>99</v>
      </c>
      <c r="U12" s="11">
        <f t="shared" si="10"/>
        <v>4455</v>
      </c>
    </row>
    <row r="13" spans="1:21" x14ac:dyDescent="0.25">
      <c r="A13" s="15" t="s">
        <v>100</v>
      </c>
      <c r="B13" s="9" t="s">
        <v>99</v>
      </c>
      <c r="C13" s="9">
        <v>89</v>
      </c>
      <c r="D13" s="8" t="s">
        <v>94</v>
      </c>
      <c r="E13" s="8">
        <v>1</v>
      </c>
      <c r="F13" s="10">
        <f t="shared" si="0"/>
        <v>0.02</v>
      </c>
      <c r="G13" s="8">
        <v>15</v>
      </c>
      <c r="H13" s="8" t="s">
        <v>98</v>
      </c>
      <c r="I13" s="8" t="s">
        <v>101</v>
      </c>
      <c r="J13" s="11">
        <f t="shared" si="1"/>
        <v>89</v>
      </c>
      <c r="K13" s="11">
        <f t="shared" si="2"/>
        <v>1068</v>
      </c>
      <c r="L13" s="11">
        <f t="shared" si="3"/>
        <v>1068</v>
      </c>
      <c r="M13" s="11">
        <f t="shared" si="4"/>
        <v>5557.9148908800007</v>
      </c>
      <c r="N13" s="11">
        <f t="shared" si="5"/>
        <v>11694.302027720028</v>
      </c>
      <c r="O13" s="11">
        <f t="shared" si="6"/>
        <v>8958.4968367983638</v>
      </c>
      <c r="P13" s="7">
        <f t="shared" si="7"/>
        <v>5.9333333333333336</v>
      </c>
      <c r="Q13" s="11">
        <f>IF($B$7=0,K13*$B$9,K13*(((1+$B$7)^$B$9)-1)/$B$7)</f>
        <v>14755.966422646512</v>
      </c>
      <c r="R13" s="7">
        <f t="shared" si="9"/>
        <v>1068</v>
      </c>
      <c r="T13" s="2" t="s">
        <v>102</v>
      </c>
      <c r="U13" s="11">
        <f t="shared" si="10"/>
        <v>6687</v>
      </c>
    </row>
    <row r="14" spans="1:21" x14ac:dyDescent="0.25">
      <c r="A14" s="15" t="s">
        <v>103</v>
      </c>
      <c r="B14" s="9" t="s">
        <v>102</v>
      </c>
      <c r="C14" s="9">
        <v>499</v>
      </c>
      <c r="D14" s="8" t="s">
        <v>94</v>
      </c>
      <c r="E14" s="8">
        <v>1</v>
      </c>
      <c r="F14" s="10">
        <f t="shared" si="0"/>
        <v>0.02</v>
      </c>
      <c r="G14" s="8">
        <v>4</v>
      </c>
      <c r="H14" s="8" t="s">
        <v>95</v>
      </c>
      <c r="I14" s="8" t="s">
        <v>101</v>
      </c>
      <c r="J14" s="11">
        <f t="shared" si="1"/>
        <v>499</v>
      </c>
      <c r="K14" s="11">
        <f t="shared" si="2"/>
        <v>5988</v>
      </c>
      <c r="L14" s="11">
        <f t="shared" si="3"/>
        <v>5988</v>
      </c>
      <c r="M14" s="11">
        <f t="shared" si="4"/>
        <v>31161.792478080002</v>
      </c>
      <c r="N14" s="11">
        <f t="shared" si="5"/>
        <v>65566.929346430275</v>
      </c>
      <c r="O14" s="11">
        <f t="shared" si="6"/>
        <v>50227.976646768351</v>
      </c>
      <c r="P14" s="7">
        <f t="shared" si="7"/>
        <v>124.75</v>
      </c>
      <c r="Q14" s="11">
        <f t="shared" si="8"/>
        <v>82732.890392141679</v>
      </c>
      <c r="R14" s="7">
        <f t="shared" si="9"/>
        <v>17964</v>
      </c>
      <c r="T14" s="2" t="s">
        <v>104</v>
      </c>
      <c r="U14" s="11">
        <f t="shared" si="10"/>
        <v>10788</v>
      </c>
    </row>
    <row r="15" spans="1:21" hidden="1" x14ac:dyDescent="0.25">
      <c r="A15" s="15" t="s">
        <v>105</v>
      </c>
      <c r="B15" s="8" t="s">
        <v>106</v>
      </c>
      <c r="C15" s="9">
        <v>129</v>
      </c>
      <c r="D15" s="8" t="s">
        <v>94</v>
      </c>
      <c r="E15" s="8">
        <v>1</v>
      </c>
      <c r="F15" s="10">
        <f t="shared" si="0"/>
        <v>0.02</v>
      </c>
      <c r="G15" s="8">
        <v>5</v>
      </c>
      <c r="H15" s="8" t="s">
        <v>95</v>
      </c>
      <c r="I15" s="8" t="s">
        <v>96</v>
      </c>
      <c r="J15" s="11">
        <f t="shared" si="1"/>
        <v>129</v>
      </c>
      <c r="K15" s="11">
        <f t="shared" si="2"/>
        <v>1548</v>
      </c>
      <c r="L15" s="11">
        <f t="shared" si="3"/>
        <v>1548</v>
      </c>
      <c r="M15" s="11">
        <f t="shared" si="4"/>
        <v>8055.8541676800014</v>
      </c>
      <c r="N15" s="11">
        <f t="shared" si="5"/>
        <v>16950.1681075942</v>
      </c>
      <c r="O15" s="11">
        <f t="shared" si="6"/>
        <v>12984.787549966168</v>
      </c>
      <c r="P15" s="7">
        <f t="shared" si="7"/>
        <v>25.8</v>
      </c>
      <c r="Q15" s="11">
        <f t="shared" si="8"/>
        <v>21387.861444060676</v>
      </c>
      <c r="R15" s="7">
        <f t="shared" si="9"/>
        <v>3096</v>
      </c>
      <c r="T15" s="2" t="s">
        <v>107</v>
      </c>
      <c r="U15" s="11">
        <f t="shared" si="10"/>
        <v>1536</v>
      </c>
    </row>
    <row r="16" spans="1:21" hidden="1" x14ac:dyDescent="0.25">
      <c r="A16" s="8" t="s">
        <v>108</v>
      </c>
      <c r="B16" s="8" t="s">
        <v>99</v>
      </c>
      <c r="C16" s="9">
        <v>399</v>
      </c>
      <c r="D16" s="8" t="s">
        <v>109</v>
      </c>
      <c r="E16" s="8">
        <v>1</v>
      </c>
      <c r="F16" s="10">
        <f t="shared" si="0"/>
        <v>0.02</v>
      </c>
      <c r="G16" s="8">
        <v>30</v>
      </c>
      <c r="H16" s="8" t="s">
        <v>98</v>
      </c>
      <c r="I16" s="8" t="s">
        <v>96</v>
      </c>
      <c r="J16" s="11">
        <f t="shared" si="1"/>
        <v>33.25</v>
      </c>
      <c r="K16" s="11">
        <f t="shared" si="2"/>
        <v>399</v>
      </c>
      <c r="L16" s="11">
        <f t="shared" si="3"/>
        <v>399</v>
      </c>
      <c r="M16" s="11">
        <f t="shared" si="4"/>
        <v>2076.4120238400005</v>
      </c>
      <c r="N16" s="11">
        <f t="shared" si="5"/>
        <v>4368.9386788954043</v>
      </c>
      <c r="O16" s="11">
        <f t="shared" si="6"/>
        <v>3346.8541553207369</v>
      </c>
      <c r="P16" s="7">
        <f t="shared" si="7"/>
        <v>1.1083333333333334</v>
      </c>
      <c r="Q16" s="11">
        <f t="shared" si="8"/>
        <v>5512.7627365505232</v>
      </c>
      <c r="R16" s="7">
        <f t="shared" si="9"/>
        <v>399</v>
      </c>
      <c r="T16" s="2" t="s">
        <v>106</v>
      </c>
      <c r="U16" s="11">
        <f t="shared" si="10"/>
        <v>2047</v>
      </c>
    </row>
    <row r="17" spans="1:22" hidden="1" x14ac:dyDescent="0.25">
      <c r="A17" s="8" t="s">
        <v>110</v>
      </c>
      <c r="B17" s="8" t="s">
        <v>102</v>
      </c>
      <c r="C17" s="9">
        <v>699</v>
      </c>
      <c r="D17" s="8" t="s">
        <v>109</v>
      </c>
      <c r="E17" s="8">
        <v>1</v>
      </c>
      <c r="F17" s="10">
        <f t="shared" si="0"/>
        <v>0.02</v>
      </c>
      <c r="G17" s="8">
        <v>3</v>
      </c>
      <c r="H17" s="8" t="s">
        <v>95</v>
      </c>
      <c r="I17" s="8" t="s">
        <v>96</v>
      </c>
      <c r="J17" s="11">
        <f t="shared" si="1"/>
        <v>58.25</v>
      </c>
      <c r="K17" s="11">
        <f t="shared" si="2"/>
        <v>699</v>
      </c>
      <c r="L17" s="11">
        <f t="shared" si="3"/>
        <v>699</v>
      </c>
      <c r="M17" s="11">
        <f t="shared" si="4"/>
        <v>3637.6240718400004</v>
      </c>
      <c r="N17" s="11">
        <f t="shared" si="5"/>
        <v>7653.8549788167611</v>
      </c>
      <c r="O17" s="11">
        <f t="shared" si="6"/>
        <v>5863.2858510506148</v>
      </c>
      <c r="P17" s="7">
        <f t="shared" si="7"/>
        <v>19.416666666666668</v>
      </c>
      <c r="Q17" s="11">
        <f t="shared" si="8"/>
        <v>9657.6971249343751</v>
      </c>
      <c r="R17" s="7">
        <f t="shared" si="9"/>
        <v>1398</v>
      </c>
      <c r="T17" s="2" t="s">
        <v>111</v>
      </c>
      <c r="U17" s="11">
        <f t="shared" si="10"/>
        <v>1200</v>
      </c>
    </row>
    <row r="18" spans="1:22" x14ac:dyDescent="0.25">
      <c r="A18" s="8" t="s">
        <v>112</v>
      </c>
      <c r="B18" s="8" t="s">
        <v>93</v>
      </c>
      <c r="C18" s="9">
        <v>149</v>
      </c>
      <c r="D18" s="8" t="s">
        <v>94</v>
      </c>
      <c r="E18" s="8">
        <v>1</v>
      </c>
      <c r="F18" s="10">
        <f t="shared" si="0"/>
        <v>0.02</v>
      </c>
      <c r="G18" s="8">
        <v>2</v>
      </c>
      <c r="H18" s="8" t="s">
        <v>113</v>
      </c>
      <c r="I18" s="8" t="s">
        <v>96</v>
      </c>
      <c r="J18" s="11">
        <f t="shared" si="1"/>
        <v>149</v>
      </c>
      <c r="K18" s="11">
        <f t="shared" si="2"/>
        <v>1788</v>
      </c>
      <c r="L18" s="11">
        <f t="shared" si="3"/>
        <v>1788</v>
      </c>
      <c r="M18" s="11">
        <f t="shared" si="4"/>
        <v>9304.8238060800013</v>
      </c>
      <c r="N18" s="11">
        <f t="shared" si="5"/>
        <v>19578.101147531284</v>
      </c>
      <c r="O18" s="11">
        <f t="shared" si="6"/>
        <v>14997.93290655007</v>
      </c>
      <c r="P18" s="7">
        <f t="shared" si="7"/>
        <v>74.5</v>
      </c>
      <c r="Q18" s="11">
        <f t="shared" si="8"/>
        <v>24703.808954767759</v>
      </c>
      <c r="R18" s="7">
        <f t="shared" si="9"/>
        <v>5364</v>
      </c>
    </row>
    <row r="19" spans="1:22" hidden="1" x14ac:dyDescent="0.25">
      <c r="A19" s="8" t="s">
        <v>114</v>
      </c>
      <c r="B19" s="8" t="s">
        <v>104</v>
      </c>
      <c r="C19" s="9">
        <v>899</v>
      </c>
      <c r="D19" s="8" t="s">
        <v>94</v>
      </c>
      <c r="E19" s="8">
        <v>1</v>
      </c>
      <c r="F19" s="10">
        <f t="shared" si="0"/>
        <v>0.02</v>
      </c>
      <c r="G19" s="8">
        <v>4</v>
      </c>
      <c r="H19" s="8" t="s">
        <v>95</v>
      </c>
      <c r="I19" s="8" t="s">
        <v>115</v>
      </c>
      <c r="J19" s="11">
        <f t="shared" si="1"/>
        <v>899</v>
      </c>
      <c r="K19" s="11">
        <f t="shared" si="2"/>
        <v>10788</v>
      </c>
      <c r="L19" s="11">
        <f t="shared" si="3"/>
        <v>10788</v>
      </c>
      <c r="M19" s="11">
        <f t="shared" si="4"/>
        <v>56141.185246080007</v>
      </c>
      <c r="N19" s="11">
        <f t="shared" si="5"/>
        <v>118125.59014517198</v>
      </c>
      <c r="O19" s="11">
        <f t="shared" si="6"/>
        <v>90490.883778446398</v>
      </c>
      <c r="P19" s="7">
        <f t="shared" si="7"/>
        <v>224.75</v>
      </c>
      <c r="Q19" s="11">
        <f t="shared" si="8"/>
        <v>149051.84060628331</v>
      </c>
      <c r="R19" s="7">
        <f t="shared" si="9"/>
        <v>32364</v>
      </c>
    </row>
    <row r="20" spans="1:22" ht="28.55" hidden="1" x14ac:dyDescent="0.25">
      <c r="A20" s="8" t="s">
        <v>116</v>
      </c>
      <c r="B20" s="8" t="s">
        <v>99</v>
      </c>
      <c r="C20" s="9">
        <v>249</v>
      </c>
      <c r="D20" s="8" t="s">
        <v>94</v>
      </c>
      <c r="E20" s="8">
        <v>1</v>
      </c>
      <c r="F20" s="10">
        <f t="shared" si="0"/>
        <v>0.02</v>
      </c>
      <c r="G20" s="8">
        <v>8</v>
      </c>
      <c r="H20" s="8" t="s">
        <v>98</v>
      </c>
      <c r="I20" s="8" t="s">
        <v>101</v>
      </c>
      <c r="J20" s="11">
        <f t="shared" si="1"/>
        <v>249</v>
      </c>
      <c r="K20" s="11">
        <f t="shared" si="2"/>
        <v>2988</v>
      </c>
      <c r="L20" s="11">
        <f t="shared" si="3"/>
        <v>2988</v>
      </c>
      <c r="M20" s="11">
        <f t="shared" si="4"/>
        <v>15549.671998080003</v>
      </c>
      <c r="N20" s="11">
        <f t="shared" si="5"/>
        <v>32717.766347216711</v>
      </c>
      <c r="O20" s="11">
        <f t="shared" si="6"/>
        <v>25063.659689469579</v>
      </c>
      <c r="P20" s="7">
        <f t="shared" si="7"/>
        <v>31.125</v>
      </c>
      <c r="Q20" s="11">
        <f t="shared" si="8"/>
        <v>41283.546508303167</v>
      </c>
      <c r="R20" s="7">
        <f t="shared" si="9"/>
        <v>2988</v>
      </c>
      <c r="T20" s="1" t="s">
        <v>14</v>
      </c>
      <c r="U20" s="1" t="s">
        <v>117</v>
      </c>
      <c r="V20" s="1" t="s">
        <v>118</v>
      </c>
    </row>
    <row r="21" spans="1:22" hidden="1" x14ac:dyDescent="0.25">
      <c r="A21" s="8" t="s">
        <v>119</v>
      </c>
      <c r="B21" s="8" t="s">
        <v>106</v>
      </c>
      <c r="C21" s="9">
        <v>499</v>
      </c>
      <c r="D21" s="8" t="s">
        <v>109</v>
      </c>
      <c r="E21" s="8">
        <v>1</v>
      </c>
      <c r="F21" s="10">
        <f t="shared" si="0"/>
        <v>0.02</v>
      </c>
      <c r="G21" s="8">
        <v>1</v>
      </c>
      <c r="H21" s="8" t="s">
        <v>95</v>
      </c>
      <c r="I21" s="8" t="s">
        <v>96</v>
      </c>
      <c r="J21" s="11">
        <f t="shared" si="1"/>
        <v>41.583333333333336</v>
      </c>
      <c r="K21" s="11">
        <f t="shared" si="2"/>
        <v>499</v>
      </c>
      <c r="L21" s="11">
        <f t="shared" si="3"/>
        <v>499</v>
      </c>
      <c r="M21" s="11">
        <f t="shared" si="4"/>
        <v>2596.8160398400005</v>
      </c>
      <c r="N21" s="11">
        <f t="shared" si="5"/>
        <v>5463.910778869189</v>
      </c>
      <c r="O21" s="11">
        <f t="shared" si="6"/>
        <v>4185.6647205640293</v>
      </c>
      <c r="P21" s="7">
        <f t="shared" si="7"/>
        <v>41.583333333333336</v>
      </c>
      <c r="Q21" s="11">
        <f t="shared" si="8"/>
        <v>6894.4075326784741</v>
      </c>
      <c r="R21" s="7">
        <f t="shared" si="9"/>
        <v>1497</v>
      </c>
      <c r="T21" s="2">
        <v>1</v>
      </c>
      <c r="U21" s="11">
        <f t="shared" ref="U21:U30" si="11">SUMPRODUCT($K$11:$K$25*(1+$F$11:$F$25)^(T21-1))</f>
        <v>35065</v>
      </c>
      <c r="V21" s="11">
        <f>SUM($U$21:U21)</f>
        <v>35065</v>
      </c>
    </row>
    <row r="22" spans="1:22" hidden="1" x14ac:dyDescent="0.25">
      <c r="A22" s="8" t="s">
        <v>120</v>
      </c>
      <c r="B22" s="8" t="s">
        <v>107</v>
      </c>
      <c r="C22" s="9">
        <v>69</v>
      </c>
      <c r="D22" s="8" t="s">
        <v>94</v>
      </c>
      <c r="E22" s="8">
        <v>1</v>
      </c>
      <c r="F22" s="10">
        <f t="shared" si="0"/>
        <v>0.02</v>
      </c>
      <c r="G22" s="8">
        <v>12</v>
      </c>
      <c r="H22" s="8" t="s">
        <v>98</v>
      </c>
      <c r="I22" s="8" t="s">
        <v>96</v>
      </c>
      <c r="J22" s="11">
        <f t="shared" si="1"/>
        <v>69</v>
      </c>
      <c r="K22" s="11">
        <f t="shared" si="2"/>
        <v>828</v>
      </c>
      <c r="L22" s="11">
        <f t="shared" si="3"/>
        <v>828</v>
      </c>
      <c r="M22" s="11">
        <f t="shared" si="4"/>
        <v>4308.9452524800008</v>
      </c>
      <c r="N22" s="11">
        <f t="shared" si="5"/>
        <v>9066.3689877829438</v>
      </c>
      <c r="O22" s="11">
        <f t="shared" si="6"/>
        <v>6945.3514802144618</v>
      </c>
      <c r="P22" s="7">
        <f t="shared" si="7"/>
        <v>5.75</v>
      </c>
      <c r="Q22" s="11">
        <f t="shared" si="8"/>
        <v>11440.018911939431</v>
      </c>
      <c r="R22" s="7">
        <f t="shared" si="9"/>
        <v>828</v>
      </c>
      <c r="T22" s="2">
        <v>2</v>
      </c>
      <c r="U22" s="11">
        <f t="shared" si="11"/>
        <v>35766.300000000003</v>
      </c>
      <c r="V22" s="11">
        <f>SUM($U$21:U22)</f>
        <v>70831.3</v>
      </c>
    </row>
    <row r="23" spans="1:22" x14ac:dyDescent="0.25">
      <c r="A23" s="8" t="s">
        <v>121</v>
      </c>
      <c r="B23" s="8" t="s">
        <v>111</v>
      </c>
      <c r="C23" s="9">
        <v>1200</v>
      </c>
      <c r="D23" s="8" t="s">
        <v>109</v>
      </c>
      <c r="E23" s="8">
        <v>1</v>
      </c>
      <c r="F23" s="10">
        <f t="shared" si="0"/>
        <v>0.02</v>
      </c>
      <c r="G23" s="8">
        <v>1</v>
      </c>
      <c r="H23" s="8" t="s">
        <v>98</v>
      </c>
      <c r="I23" s="8" t="s">
        <v>101</v>
      </c>
      <c r="J23" s="11">
        <f t="shared" si="1"/>
        <v>100</v>
      </c>
      <c r="K23" s="11">
        <f t="shared" si="2"/>
        <v>1200</v>
      </c>
      <c r="L23" s="11">
        <f t="shared" si="3"/>
        <v>1200</v>
      </c>
      <c r="M23" s="11">
        <f t="shared" si="4"/>
        <v>6244.8481920000004</v>
      </c>
      <c r="N23" s="11">
        <f t="shared" si="5"/>
        <v>13139.665199685427</v>
      </c>
      <c r="O23" s="11">
        <f t="shared" si="6"/>
        <v>10065.72678291951</v>
      </c>
      <c r="P23" s="7">
        <f t="shared" si="7"/>
        <v>100</v>
      </c>
      <c r="Q23" s="11">
        <f t="shared" si="8"/>
        <v>16579.737553535408</v>
      </c>
      <c r="R23" s="7">
        <f t="shared" si="9"/>
        <v>1800</v>
      </c>
      <c r="T23" s="2">
        <v>3</v>
      </c>
      <c r="U23" s="11">
        <f t="shared" si="11"/>
        <v>36481.625999999989</v>
      </c>
      <c r="V23" s="11">
        <f>SUM($U$21:U23)</f>
        <v>107312.92599999999</v>
      </c>
    </row>
    <row r="24" spans="1:22" hidden="1" x14ac:dyDescent="0.25">
      <c r="A24" s="8" t="s">
        <v>122</v>
      </c>
      <c r="B24" s="8" t="s">
        <v>93</v>
      </c>
      <c r="C24" s="9">
        <v>179</v>
      </c>
      <c r="D24" s="8" t="s">
        <v>94</v>
      </c>
      <c r="E24" s="8">
        <v>1</v>
      </c>
      <c r="F24" s="10">
        <f t="shared" si="0"/>
        <v>0.02</v>
      </c>
      <c r="G24" s="8">
        <v>1</v>
      </c>
      <c r="H24" s="8" t="s">
        <v>113</v>
      </c>
      <c r="I24" s="8" t="s">
        <v>101</v>
      </c>
      <c r="J24" s="11">
        <f t="shared" si="1"/>
        <v>179</v>
      </c>
      <c r="K24" s="11">
        <f t="shared" si="2"/>
        <v>2148</v>
      </c>
      <c r="L24" s="11">
        <f t="shared" si="3"/>
        <v>2148</v>
      </c>
      <c r="M24" s="11">
        <f t="shared" si="4"/>
        <v>11178.278263680002</v>
      </c>
      <c r="N24" s="11">
        <f t="shared" si="5"/>
        <v>23520.000707436913</v>
      </c>
      <c r="O24" s="11">
        <f t="shared" si="6"/>
        <v>18017.650941425924</v>
      </c>
      <c r="P24" s="7">
        <f t="shared" si="7"/>
        <v>179</v>
      </c>
      <c r="Q24" s="11">
        <f t="shared" si="8"/>
        <v>29677.730220828384</v>
      </c>
      <c r="R24" s="7">
        <f t="shared" si="9"/>
        <v>9666</v>
      </c>
      <c r="T24" s="2">
        <v>4</v>
      </c>
      <c r="U24" s="11">
        <f t="shared" si="11"/>
        <v>37211.258519999996</v>
      </c>
      <c r="V24" s="11">
        <f>SUM($U$21:U24)</f>
        <v>144524.18451999998</v>
      </c>
    </row>
    <row r="25" spans="1:22" hidden="1" x14ac:dyDescent="0.25">
      <c r="A25" s="8" t="s">
        <v>123</v>
      </c>
      <c r="B25" s="8" t="s">
        <v>107</v>
      </c>
      <c r="C25" s="9">
        <v>59</v>
      </c>
      <c r="D25" s="8" t="s">
        <v>94</v>
      </c>
      <c r="E25" s="8">
        <v>1</v>
      </c>
      <c r="F25" s="10">
        <f t="shared" si="0"/>
        <v>0.02</v>
      </c>
      <c r="G25" s="8">
        <v>10</v>
      </c>
      <c r="H25" s="8" t="s">
        <v>98</v>
      </c>
      <c r="I25" s="8" t="s">
        <v>96</v>
      </c>
      <c r="J25" s="11">
        <f t="shared" si="1"/>
        <v>59</v>
      </c>
      <c r="K25" s="11">
        <f t="shared" si="2"/>
        <v>708</v>
      </c>
      <c r="L25" s="11">
        <f t="shared" si="3"/>
        <v>708</v>
      </c>
      <c r="M25" s="11">
        <f t="shared" si="4"/>
        <v>3684.4604332800004</v>
      </c>
      <c r="N25" s="11">
        <f t="shared" si="5"/>
        <v>7752.4024678144015</v>
      </c>
      <c r="O25" s="11">
        <f t="shared" si="6"/>
        <v>5938.7788019225109</v>
      </c>
      <c r="P25" s="7">
        <f t="shared" si="7"/>
        <v>5.9</v>
      </c>
      <c r="Q25" s="11">
        <f t="shared" si="8"/>
        <v>9782.0451565858912</v>
      </c>
      <c r="R25" s="7">
        <f t="shared" si="9"/>
        <v>708</v>
      </c>
      <c r="T25" s="2">
        <v>5</v>
      </c>
      <c r="U25" s="11">
        <f t="shared" si="11"/>
        <v>37955.483690400011</v>
      </c>
      <c r="V25" s="11">
        <f>SUM($U$21:U25)</f>
        <v>182479.66821039998</v>
      </c>
    </row>
    <row r="26" spans="1:22" x14ac:dyDescent="0.25">
      <c r="T26" s="2">
        <v>6</v>
      </c>
      <c r="U26" s="11">
        <f t="shared" si="11"/>
        <v>38714.593364208005</v>
      </c>
      <c r="V26" s="11">
        <f>SUM($U$21:U26)</f>
        <v>221194.26157460798</v>
      </c>
    </row>
    <row r="27" spans="1:22" x14ac:dyDescent="0.25">
      <c r="T27" s="2">
        <v>7</v>
      </c>
      <c r="U27" s="11">
        <f t="shared" si="11"/>
        <v>39488.885231492161</v>
      </c>
      <c r="V27" s="11">
        <f>SUM($U$21:U27)</f>
        <v>260683.14680610015</v>
      </c>
    </row>
    <row r="28" spans="1:22" x14ac:dyDescent="0.25">
      <c r="T28" s="2">
        <v>8</v>
      </c>
      <c r="U28" s="11">
        <f t="shared" si="11"/>
        <v>40278.662936121997</v>
      </c>
      <c r="V28" s="11">
        <f>SUM($U$21:U28)</f>
        <v>300961.80974222213</v>
      </c>
    </row>
    <row r="29" spans="1:22" x14ac:dyDescent="0.25">
      <c r="T29" s="2">
        <v>9</v>
      </c>
      <c r="U29" s="11">
        <f t="shared" si="11"/>
        <v>41084.236194844445</v>
      </c>
      <c r="V29" s="11">
        <f>SUM($U$21:U29)</f>
        <v>342046.04593706655</v>
      </c>
    </row>
    <row r="30" spans="1:22" x14ac:dyDescent="0.25">
      <c r="T30" s="2">
        <v>10</v>
      </c>
      <c r="U30" s="11">
        <f t="shared" si="11"/>
        <v>41905.920918741329</v>
      </c>
      <c r="V30" s="11">
        <f>SUM($U$21:U30)</f>
        <v>383951.96685580787</v>
      </c>
    </row>
    <row r="33" spans="20:22" x14ac:dyDescent="0.25">
      <c r="T33" s="5" t="s">
        <v>124</v>
      </c>
    </row>
    <row r="34" spans="20:22" x14ac:dyDescent="0.25">
      <c r="T34" s="1" t="s">
        <v>125</v>
      </c>
      <c r="U34" s="1" t="s">
        <v>91</v>
      </c>
      <c r="V34" s="1" t="s">
        <v>126</v>
      </c>
    </row>
    <row r="35" spans="20:22" x14ac:dyDescent="0.25">
      <c r="T35" s="2" t="str">
        <f>INDEX($A$11:$A$25,MATCH(LARGE($R$11:$R$25,1),$R$11:$R$25,0))</f>
        <v>Meal Kit</v>
      </c>
      <c r="U35" s="3">
        <f>INDEX($K$11:$K$25,MATCH(LARGE($R$11:$R$25,1),$R$11:$R$25,0))</f>
        <v>10788</v>
      </c>
      <c r="V35" s="2" t="str">
        <f>INDEX($H$11:$H$25,MATCH(LARGE($R$11:$R$25,1),$R$11:$R$25,0))</f>
        <v>Nice-to-have</v>
      </c>
    </row>
    <row r="36" spans="20:22" x14ac:dyDescent="0.25">
      <c r="T36" s="2" t="str">
        <f>INDEX($A$11:$A$25,MATCH(LARGE($R$11:$R$25,2),$R$11:$R$25,0))</f>
        <v>Gym Membership</v>
      </c>
      <c r="U36" s="3">
        <f>INDEX($K$11:$K$25,MATCH(LARGE($R$11:$R$25,2),$R$11:$R$25,0))</f>
        <v>5988</v>
      </c>
      <c r="V36" s="2" t="str">
        <f>INDEX($H$11:$H$25,MATCH(LARGE($R$11:$R$25,2),$R$11:$R$25,0))</f>
        <v>Nice-to-have</v>
      </c>
    </row>
    <row r="37" spans="20:22" x14ac:dyDescent="0.25">
      <c r="T37" s="2" t="str">
        <f>INDEX($A$11:$A$25,MATCH(LARGE($R$11:$R$25,3),$R$11:$R$25,0))</f>
        <v>Extra TV Package</v>
      </c>
      <c r="U37" s="3">
        <f>INDEX($K$11:$K$25,MATCH(LARGE($R$11:$R$25,3),$R$11:$R$25,0))</f>
        <v>2148</v>
      </c>
      <c r="V37" s="2" t="str">
        <f>INDEX($H$11:$H$25,MATCH(LARGE($R$11:$R$25,3),$R$11:$R$25,0))</f>
        <v>Unused</v>
      </c>
    </row>
    <row r="38" spans="20:22" x14ac:dyDescent="0.25">
      <c r="T38" s="2" t="str">
        <f>INDEX($A$11:$A$25,MATCH(LARGE($R$11:$R$25,4),$R$11:$R$25,0))</f>
        <v>Streaming Bundle</v>
      </c>
      <c r="U38" s="3">
        <f>INDEX($K$11:$K$25,MATCH(LARGE($R$11:$R$25,4),$R$11:$R$25,0))</f>
        <v>2988</v>
      </c>
      <c r="V38" s="2" t="str">
        <f>INDEX($H$11:$H$25,MATCH(LARGE($R$11:$R$25,4),$R$11:$R$25,0))</f>
        <v>Nice-to-have</v>
      </c>
    </row>
    <row r="39" spans="20:22" x14ac:dyDescent="0.25">
      <c r="T39" s="2" t="str">
        <f>INDEX($A$11:$A$25,MATCH(LARGE($R$11:$R$25,5),$R$11:$R$25,0))</f>
        <v>Gaming Pass</v>
      </c>
      <c r="U39" s="3">
        <f>INDEX($K$11:$K$25,MATCH(LARGE($R$11:$R$25,5),$R$11:$R$25,0))</f>
        <v>1788</v>
      </c>
      <c r="V39" s="2" t="str">
        <f>INDEX($H$11:$H$25,MATCH(LARGE($R$11:$R$25,5),$R$11:$R$25,0))</f>
        <v>Unused</v>
      </c>
    </row>
  </sheetData>
  <mergeCells count="2">
    <mergeCell ref="A1:R1"/>
    <mergeCell ref="A2:R3"/>
  </mergeCells>
  <conditionalFormatting sqref="A11:R25">
    <cfRule type="expression" dxfId="2" priority="1">
      <formula>$H11="Unused"</formula>
    </cfRule>
    <cfRule type="expression" dxfId="1" priority="2">
      <formula>AND($J11&gt;=150,$G11&lt;=1,$A11&lt;&gt;"")</formula>
    </cfRule>
  </conditionalFormatting>
  <conditionalFormatting sqref="P11:P25">
    <cfRule type="expression" dxfId="0" priority="3">
      <formula>P11&gt;100</formula>
    </cfRule>
  </conditionalFormatting>
  <dataValidations count="2">
    <dataValidation type="list" sqref="D11 D12 D13 D14 D15 D16 D17 D18 D19 D20 D21 D22 D23 D24 D25" xr:uid="{00000000-0002-0000-0300-000000000000}">
      <formula1>"Monthly,Annual"</formula1>
    </dataValidation>
    <dataValidation type="list" sqref="H11 H12 H13 H14 H15 H16 H17 H18 H19 H20 H21 H22 H23 H24 H25" xr:uid="{00000000-0002-0000-0300-000001000000}">
      <formula1>"Essential,Nice-to-have,Unused"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9"/>
  <sheetViews>
    <sheetView tabSelected="1" workbookViewId="0">
      <selection activeCell="D22" sqref="D22"/>
    </sheetView>
  </sheetViews>
  <sheetFormatPr defaultRowHeight="14.3" x14ac:dyDescent="0.25"/>
  <cols>
    <col min="1" max="1" width="29.875" bestFit="1" customWidth="1"/>
    <col min="2" max="2" width="18" customWidth="1"/>
    <col min="3" max="3" width="12" customWidth="1"/>
    <col min="4" max="4" width="27.375" bestFit="1" customWidth="1"/>
    <col min="5" max="8" width="12" customWidth="1"/>
    <col min="9" max="9" width="14" customWidth="1"/>
    <col min="10" max="11" width="12" customWidth="1"/>
    <col min="12" max="15" width="14" customWidth="1"/>
    <col min="17" max="17" width="14" customWidth="1"/>
    <col min="18" max="20" width="12" customWidth="1"/>
    <col min="21" max="22" width="14" customWidth="1"/>
  </cols>
  <sheetData>
    <row r="1" spans="1:20" ht="21.1" x14ac:dyDescent="0.25">
      <c r="A1" s="21" t="s">
        <v>127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20" x14ac:dyDescent="0.25">
      <c r="A2" s="22" t="s">
        <v>128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1:20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5" spans="1:20" x14ac:dyDescent="0.25">
      <c r="A5" s="6" t="s">
        <v>129</v>
      </c>
    </row>
    <row r="6" spans="1:20" x14ac:dyDescent="0.25">
      <c r="A6" s="5" t="s">
        <v>130</v>
      </c>
      <c r="B6" s="9">
        <v>2</v>
      </c>
      <c r="D6" s="5" t="s">
        <v>131</v>
      </c>
      <c r="E6" s="4" t="str">
        <f>INDEX($A$12:$A$14,MATCH(MIN($C$12:$C$14),$C$12:$C$14,0))</f>
        <v>Cheap Model</v>
      </c>
    </row>
    <row r="7" spans="1:20" x14ac:dyDescent="0.25">
      <c r="A7" s="5" t="s">
        <v>132</v>
      </c>
      <c r="B7" s="10">
        <v>0.03</v>
      </c>
      <c r="D7" s="5" t="s">
        <v>133</v>
      </c>
      <c r="E7" s="4" t="str">
        <f>INDEX($A$12:$A$14,MATCH(MIN($M$12:$M$14),$M$12:$M$14,0))</f>
        <v>Mid-range Model</v>
      </c>
    </row>
    <row r="8" spans="1:20" x14ac:dyDescent="0.25">
      <c r="A8" s="5" t="s">
        <v>134</v>
      </c>
      <c r="B8" s="10">
        <v>0.05</v>
      </c>
      <c r="D8" s="5" t="s">
        <v>135</v>
      </c>
      <c r="E8" s="4" t="str">
        <f>INDEX($A$12:$A$14,MATCH(MIN($N$12:$N$14),$N$12:$N$14,0))</f>
        <v>Mid-range Model</v>
      </c>
    </row>
    <row r="9" spans="1:20" x14ac:dyDescent="0.25">
      <c r="A9" s="5" t="s">
        <v>72</v>
      </c>
      <c r="B9" s="13">
        <v>10</v>
      </c>
      <c r="D9" s="5" t="s">
        <v>136</v>
      </c>
      <c r="E9" s="4" t="str">
        <f>IF(E7=E6,E7&amp;" is both the cheapest upfront and over life.",E7&amp;" justifies a higher upfront price if energy, lifespan, or repair savings persist.")</f>
        <v>Mid-range Model justifies a higher upfront price if energy, lifespan, or repair savings persist.</v>
      </c>
    </row>
    <row r="11" spans="1:20" ht="42.8" x14ac:dyDescent="0.25">
      <c r="A11" s="1" t="s">
        <v>137</v>
      </c>
      <c r="B11" s="1" t="s">
        <v>138</v>
      </c>
      <c r="C11" s="1" t="s">
        <v>139</v>
      </c>
      <c r="D11" s="1" t="s">
        <v>140</v>
      </c>
      <c r="E11" s="1" t="s">
        <v>141</v>
      </c>
      <c r="F11" s="1" t="s">
        <v>142</v>
      </c>
      <c r="G11" s="1" t="s">
        <v>143</v>
      </c>
      <c r="H11" s="1" t="s">
        <v>144</v>
      </c>
      <c r="I11" s="1" t="s">
        <v>145</v>
      </c>
      <c r="J11" s="1" t="s">
        <v>146</v>
      </c>
      <c r="K11" s="1" t="s">
        <v>147</v>
      </c>
      <c r="L11" s="1" t="s">
        <v>148</v>
      </c>
      <c r="M11" s="1" t="s">
        <v>149</v>
      </c>
      <c r="N11" s="1" t="s">
        <v>150</v>
      </c>
      <c r="O11" s="1" t="s">
        <v>151</v>
      </c>
      <c r="Q11" s="1" t="s">
        <v>14</v>
      </c>
      <c r="R11" s="1" t="s">
        <v>152</v>
      </c>
      <c r="S11" s="1" t="s">
        <v>153</v>
      </c>
      <c r="T11" s="1" t="s">
        <v>154</v>
      </c>
    </row>
    <row r="12" spans="1:20" x14ac:dyDescent="0.25">
      <c r="A12" s="8" t="s">
        <v>155</v>
      </c>
      <c r="B12" s="8" t="s">
        <v>156</v>
      </c>
      <c r="C12" s="9">
        <v>5500</v>
      </c>
      <c r="D12" s="8">
        <v>5</v>
      </c>
      <c r="E12" s="8">
        <v>240</v>
      </c>
      <c r="F12" s="9">
        <v>500</v>
      </c>
      <c r="G12" s="9">
        <v>1500</v>
      </c>
      <c r="H12" s="8">
        <v>3</v>
      </c>
      <c r="I12" s="8">
        <v>5</v>
      </c>
      <c r="J12" s="9">
        <v>0</v>
      </c>
      <c r="K12" s="11">
        <f>C12</f>
        <v>5500</v>
      </c>
      <c r="L12" s="11">
        <f>SUMPRODUCT((Q12:Q22&lt;=$B$9)*R12:R22)</f>
        <v>34378.432894122649</v>
      </c>
      <c r="M12" s="11">
        <f>SUMPRODUCT((Q12:Q22&lt;=$B$9)*R12:R22/((1+$B$8)^Q12:Q22))</f>
        <v>26565.36440461878</v>
      </c>
      <c r="N12" s="11">
        <f>IF($B$8=0,M12/$B$9,M12*$B$8/(1-(1+$B$8)^-$B$9))</f>
        <v>3440.3362260226272</v>
      </c>
      <c r="O12" s="11">
        <f>L12/$B$9</f>
        <v>3437.8432894122648</v>
      </c>
      <c r="Q12" s="2">
        <f>0</f>
        <v>0</v>
      </c>
      <c r="R12" s="7">
        <f t="shared" ref="R12:R22" si="0">IF(MOD(Q12,$I$12)=0,$C$12*(1+$B$7)^Q12,0)+IF(Q12&gt;0,(($E$12*$B$6)+$F$12)*(1+$B$7)^Q12,0)+IF(AND($H$12&lt;&gt;"",MOD(Q12,$I$12)=$H$12),$G$12*(1+$B$7)^Q12,0)-IF(Q12=$B$9,$J$12*(1+$B$7)^Q12,0)</f>
        <v>5500</v>
      </c>
      <c r="S12" s="7">
        <f t="shared" ref="S12:S22" si="1">IF(MOD(Q12,$I$13)=0,$C$13*(1+$B$7)^Q12,0)+IF(Q12&gt;0,(($E$13*$B$6)+$F$13)*(1+$B$7)^Q12,0)+IF(AND($H$13&lt;&gt;"",MOD(Q12,$I$13)=$H$13),$G$13*(1+$B$7)^Q12,0)-IF(Q12=$B$9,$J$13*(1+$B$7)^Q12,0)</f>
        <v>10500</v>
      </c>
      <c r="T12" s="7">
        <f t="shared" ref="T12:T22" si="2">IF(MOD(Q12,$I$14)=0,$C$14*(1+$B$7)^Q12,0)+IF(Q12&gt;0,(($E$14*$B$6)+$F$14)*(1+$B$7)^Q12,0)+IF(AND($H$14&lt;&gt;"",MOD(Q12,$I$14)=$H$14),$G$14*(1+$B$7)^Q12,0)-IF(Q12=$B$9,$J$14*(1+$B$7)^Q12,0)</f>
        <v>8000</v>
      </c>
    </row>
    <row r="13" spans="1:20" x14ac:dyDescent="0.25">
      <c r="A13" s="8" t="s">
        <v>157</v>
      </c>
      <c r="B13" s="8" t="s">
        <v>156</v>
      </c>
      <c r="C13" s="9">
        <v>10500</v>
      </c>
      <c r="D13" s="8">
        <v>10</v>
      </c>
      <c r="E13" s="8">
        <v>170</v>
      </c>
      <c r="F13" s="9">
        <v>250</v>
      </c>
      <c r="G13" s="9">
        <v>1000</v>
      </c>
      <c r="H13" s="8">
        <v>6</v>
      </c>
      <c r="I13" s="8">
        <v>10</v>
      </c>
      <c r="J13" s="9">
        <v>1000</v>
      </c>
      <c r="K13" s="11">
        <f>C13</f>
        <v>10500</v>
      </c>
      <c r="L13" s="11">
        <f>SUMPRODUCT((Q12:Q22&lt;=$B$9)*S12:S22)</f>
        <v>31427.857357878922</v>
      </c>
      <c r="M13" s="11">
        <f>SUMPRODUCT((Q12:Q22&lt;=$B$9)*S12:S22/((1+$B$8)^Q12:Q22))</f>
        <v>24544.891121378983</v>
      </c>
      <c r="N13" s="11">
        <f>IF($B$8=0,M13/$B$9,M13*$B$8/(1-(1+$B$8)^-$B$9))</f>
        <v>3178.6756922475965</v>
      </c>
      <c r="O13" s="11">
        <f>L13/$B$9</f>
        <v>3142.785735787892</v>
      </c>
      <c r="Q13" s="2">
        <f t="shared" ref="Q13:Q22" si="3">Q12+1</f>
        <v>1</v>
      </c>
      <c r="R13" s="7">
        <f t="shared" si="0"/>
        <v>1009.4</v>
      </c>
      <c r="S13" s="7">
        <f t="shared" si="1"/>
        <v>607.70000000000005</v>
      </c>
      <c r="T13" s="7">
        <f t="shared" si="2"/>
        <v>772.5</v>
      </c>
    </row>
    <row r="14" spans="1:20" x14ac:dyDescent="0.25">
      <c r="A14" s="8" t="s">
        <v>158</v>
      </c>
      <c r="B14" s="8" t="s">
        <v>156</v>
      </c>
      <c r="C14" s="9">
        <v>8000</v>
      </c>
      <c r="D14" s="8">
        <v>7</v>
      </c>
      <c r="E14" s="8">
        <v>200</v>
      </c>
      <c r="F14" s="9">
        <v>350</v>
      </c>
      <c r="G14" s="9">
        <v>1200</v>
      </c>
      <c r="H14" s="8">
        <v>4</v>
      </c>
      <c r="I14" s="8">
        <v>7</v>
      </c>
      <c r="J14" s="9">
        <v>500</v>
      </c>
      <c r="K14" s="11">
        <f>C14</f>
        <v>8000</v>
      </c>
      <c r="L14" s="11">
        <f>SUMPRODUCT((Q12:Q22&lt;=$B$9)*T12:T22)</f>
        <v>27373.490073838038</v>
      </c>
      <c r="M14" s="11">
        <f>SUMPRODUCT((Q12:Q22&lt;=$B$9)*T12:T22/((1+$B$8)^Q12:Q22))</f>
        <v>22448.531806762792</v>
      </c>
      <c r="N14" s="11">
        <f>IF($B$8=0,M14/$B$9,M14*$B$8/(1-(1+$B$8)^-$B$9))</f>
        <v>2907.1875702333509</v>
      </c>
      <c r="O14" s="11">
        <f>L14/$B$9</f>
        <v>2737.3490073838038</v>
      </c>
      <c r="Q14" s="2">
        <f t="shared" si="3"/>
        <v>2</v>
      </c>
      <c r="R14" s="7">
        <f t="shared" si="0"/>
        <v>1039.682</v>
      </c>
      <c r="S14" s="7">
        <f t="shared" si="1"/>
        <v>625.93099999999993</v>
      </c>
      <c r="T14" s="7">
        <f t="shared" si="2"/>
        <v>795.67499999999995</v>
      </c>
    </row>
    <row r="15" spans="1:20" x14ac:dyDescent="0.25">
      <c r="Q15" s="2">
        <f t="shared" si="3"/>
        <v>3</v>
      </c>
      <c r="R15" s="7">
        <f t="shared" si="0"/>
        <v>2709.9629599999998</v>
      </c>
      <c r="S15" s="7">
        <f t="shared" si="1"/>
        <v>644.70893000000001</v>
      </c>
      <c r="T15" s="7">
        <f t="shared" si="2"/>
        <v>819.54525000000001</v>
      </c>
    </row>
    <row r="16" spans="1:20" x14ac:dyDescent="0.25">
      <c r="Q16" s="2">
        <f t="shared" si="3"/>
        <v>4</v>
      </c>
      <c r="R16" s="7">
        <f t="shared" si="0"/>
        <v>1102.9986337999999</v>
      </c>
      <c r="S16" s="7">
        <f t="shared" si="1"/>
        <v>664.05019789999994</v>
      </c>
      <c r="T16" s="7">
        <f t="shared" si="2"/>
        <v>2194.7421795</v>
      </c>
    </row>
    <row r="17" spans="17:22" x14ac:dyDescent="0.25">
      <c r="Q17" s="2">
        <f t="shared" si="3"/>
        <v>5</v>
      </c>
      <c r="R17" s="7">
        <f t="shared" si="0"/>
        <v>7512.0960014639986</v>
      </c>
      <c r="S17" s="7">
        <f t="shared" si="1"/>
        <v>683.97170383699995</v>
      </c>
      <c r="T17" s="7">
        <f t="shared" si="2"/>
        <v>869.45555572499984</v>
      </c>
    </row>
    <row r="18" spans="17:22" x14ac:dyDescent="0.25">
      <c r="Q18" s="2">
        <f t="shared" si="3"/>
        <v>6</v>
      </c>
      <c r="R18" s="7">
        <f t="shared" si="0"/>
        <v>1170.1712505984199</v>
      </c>
      <c r="S18" s="7">
        <f t="shared" si="1"/>
        <v>1898.5431514811098</v>
      </c>
      <c r="T18" s="7">
        <f t="shared" si="2"/>
        <v>895.53922239674989</v>
      </c>
    </row>
    <row r="19" spans="17:22" x14ac:dyDescent="0.25">
      <c r="Q19" s="2">
        <f t="shared" si="3"/>
        <v>7</v>
      </c>
      <c r="R19" s="7">
        <f t="shared" si="0"/>
        <v>1205.2763881163726</v>
      </c>
      <c r="S19" s="7">
        <f t="shared" si="1"/>
        <v>725.62558060067329</v>
      </c>
      <c r="T19" s="7">
        <f t="shared" si="2"/>
        <v>10761.396322467612</v>
      </c>
    </row>
    <row r="20" spans="17:22" x14ac:dyDescent="0.25">
      <c r="Q20" s="2">
        <f t="shared" si="3"/>
        <v>8</v>
      </c>
      <c r="R20" s="7">
        <f t="shared" si="0"/>
        <v>3141.5898018412877</v>
      </c>
      <c r="S20" s="7">
        <f t="shared" si="1"/>
        <v>747.39434801869345</v>
      </c>
      <c r="T20" s="7">
        <f t="shared" si="2"/>
        <v>950.077561040712</v>
      </c>
    </row>
    <row r="21" spans="17:22" x14ac:dyDescent="0.25">
      <c r="Q21" s="2">
        <f t="shared" si="3"/>
        <v>9</v>
      </c>
      <c r="R21" s="7">
        <f t="shared" si="0"/>
        <v>1278.6777201526595</v>
      </c>
      <c r="S21" s="7">
        <f t="shared" si="1"/>
        <v>769.81617845925427</v>
      </c>
      <c r="T21" s="7">
        <f t="shared" si="2"/>
        <v>978.57988787193335</v>
      </c>
    </row>
    <row r="22" spans="17:22" x14ac:dyDescent="0.25">
      <c r="Q22" s="2">
        <f t="shared" si="3"/>
        <v>10</v>
      </c>
      <c r="R22" s="7">
        <f t="shared" si="0"/>
        <v>8708.5781381499091</v>
      </c>
      <c r="S22" s="7">
        <f t="shared" si="1"/>
        <v>13560.116267582189</v>
      </c>
      <c r="T22" s="7">
        <f t="shared" si="2"/>
        <v>335.97909483603041</v>
      </c>
    </row>
    <row r="25" spans="17:22" x14ac:dyDescent="0.25">
      <c r="Q25" s="1" t="s">
        <v>10</v>
      </c>
      <c r="R25" s="1" t="s">
        <v>11</v>
      </c>
      <c r="S25" s="1" t="s">
        <v>12</v>
      </c>
      <c r="T25" s="1" t="s">
        <v>13</v>
      </c>
      <c r="U25" s="1" t="s">
        <v>159</v>
      </c>
      <c r="V25" s="1" t="s">
        <v>160</v>
      </c>
    </row>
    <row r="26" spans="17:22" x14ac:dyDescent="0.25">
      <c r="Q26" s="7" t="s">
        <v>161</v>
      </c>
      <c r="R26" s="7">
        <v>1.5</v>
      </c>
      <c r="S26" s="7">
        <f>B6</f>
        <v>2</v>
      </c>
      <c r="T26" s="7">
        <v>3</v>
      </c>
      <c r="U26" s="11">
        <f>(($M$13)-($M$12))*0+($E$13-$E$12)*(R26-B6)*$B$9</f>
        <v>350</v>
      </c>
      <c r="V26" s="11">
        <f>(($M$13)-($M$12))*0+($E$13-$E$12)*(T26-B6)*$B$9</f>
        <v>-700</v>
      </c>
    </row>
    <row r="27" spans="17:22" x14ac:dyDescent="0.25">
      <c r="Q27" s="7" t="s">
        <v>162</v>
      </c>
      <c r="R27" s="7">
        <v>8</v>
      </c>
      <c r="S27" s="7">
        <f>D13</f>
        <v>10</v>
      </c>
      <c r="T27" s="7">
        <v>12</v>
      </c>
      <c r="U27" s="11">
        <f>(M13-M12)+(S27-R27)*0</f>
        <v>-2020.4732832397967</v>
      </c>
      <c r="V27" s="11">
        <f>(M13-M12)+(T27-S27)*0</f>
        <v>-2020.4732832397967</v>
      </c>
    </row>
    <row r="28" spans="17:22" x14ac:dyDescent="0.25">
      <c r="Q28" s="7" t="s">
        <v>163</v>
      </c>
      <c r="R28" s="7">
        <v>500</v>
      </c>
      <c r="S28" s="7">
        <f>G13</f>
        <v>1000</v>
      </c>
      <c r="T28" s="7">
        <v>2000</v>
      </c>
      <c r="U28" s="11">
        <f>(M13-M12)+(R28-G13)</f>
        <v>-2520.4732832397967</v>
      </c>
      <c r="V28" s="11">
        <f>(M13-M12)+(T28-G13)</f>
        <v>-1020.4732832397967</v>
      </c>
    </row>
    <row r="29" spans="17:22" x14ac:dyDescent="0.25">
      <c r="Q29" s="7" t="s">
        <v>134</v>
      </c>
      <c r="R29" s="12">
        <v>0.03</v>
      </c>
      <c r="S29" s="12">
        <f>B8</f>
        <v>0.05</v>
      </c>
      <c r="T29" s="12">
        <v>0.08</v>
      </c>
      <c r="U29" s="11">
        <f>(M13-M12)+(R29-B8)*10000</f>
        <v>-2220.4732832397967</v>
      </c>
      <c r="V29" s="11">
        <f>(M13-M12)+(T29-B8)*10000</f>
        <v>-1720.4732832397967</v>
      </c>
    </row>
  </sheetData>
  <mergeCells count="2">
    <mergeCell ref="A1:O1"/>
    <mergeCell ref="A2:O3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Help - Instructions</vt:lpstr>
      <vt:lpstr>Debt vs Invest</vt:lpstr>
      <vt:lpstr>Subscription Audit</vt:lpstr>
      <vt:lpstr>Cheap vs Durable Appliance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Alvarez</cp:lastModifiedBy>
  <dcterms:modified xsi:type="dcterms:W3CDTF">2026-04-19T21:46:30Z</dcterms:modified>
</cp:coreProperties>
</file>