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nolo\Documents\SFL\Seminars on Financial Literacy 2.0\"/>
    </mc:Choice>
  </mc:AlternateContent>
  <xr:revisionPtr revIDLastSave="0" documentId="13_ncr:1_{C3BEF354-5DA5-43C3-9042-D3853FE9F739}" xr6:coauthVersionLast="47" xr6:coauthVersionMax="47" xr10:uidLastSave="{00000000-0000-0000-0000-000000000000}"/>
  <bookViews>
    <workbookView xWindow="-109" yWindow="-109" windowWidth="26301" windowHeight="14305" xr2:uid="{00000000-000D-0000-FFFF-FFFF00000000}"/>
  </bookViews>
  <sheets>
    <sheet name="Credit Monitor" sheetId="1" r:id="rId1"/>
    <sheet name="How it works" sheetId="2" r:id="rId2"/>
  </sheets>
  <definedNames>
    <definedName name="AllowedDebtRange">'Credit Monitor'!$Z$13:INDEX('Credit Monitor'!$Z:$Z,12+'Credit Monitor'!$B$9)</definedName>
    <definedName name="ClosingDebtRange">'Credit Monitor'!$Y$13:INDEX('Credit Monitor'!$Y:$Y,12+'Credit Monitor'!$B$9)</definedName>
    <definedName name="MonthsRange">'Credit Monitor'!$X$13:INDEX('Credit Monitor'!$X:$X,12+'Credit Monitor'!$B$9)</definedName>
  </definedNames>
  <calcPr calcId="181029"/>
</workbook>
</file>

<file path=xl/calcChain.xml><?xml version="1.0" encoding="utf-8"?>
<calcChain xmlns="http://schemas.openxmlformats.org/spreadsheetml/2006/main">
  <c r="E4" i="1" l="1"/>
  <c r="AB4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D253" i="1"/>
  <c r="A14" i="1"/>
  <c r="E14" i="1" s="1"/>
  <c r="A15" i="1"/>
  <c r="A16" i="1"/>
  <c r="A17" i="1"/>
  <c r="A18" i="1"/>
  <c r="E18" i="1" s="1"/>
  <c r="A19" i="1"/>
  <c r="A20" i="1"/>
  <c r="A21" i="1"/>
  <c r="A22" i="1"/>
  <c r="A23" i="1"/>
  <c r="A24" i="1"/>
  <c r="A25" i="1"/>
  <c r="E25" i="1" s="1"/>
  <c r="A26" i="1"/>
  <c r="A27" i="1"/>
  <c r="X27" i="1" s="1"/>
  <c r="A28" i="1"/>
  <c r="X28" i="1" s="1"/>
  <c r="A29" i="1"/>
  <c r="A30" i="1"/>
  <c r="A31" i="1"/>
  <c r="E31" i="1" s="1"/>
  <c r="A32" i="1"/>
  <c r="A33" i="1"/>
  <c r="A34" i="1"/>
  <c r="A35" i="1"/>
  <c r="A36" i="1"/>
  <c r="A37" i="1"/>
  <c r="A38" i="1"/>
  <c r="E38" i="1" s="1"/>
  <c r="A39" i="1"/>
  <c r="E39" i="1" s="1"/>
  <c r="A40" i="1"/>
  <c r="A41" i="1"/>
  <c r="A42" i="1"/>
  <c r="A43" i="1"/>
  <c r="X43" i="1" s="1"/>
  <c r="A44" i="1"/>
  <c r="X44" i="1" s="1"/>
  <c r="A45" i="1"/>
  <c r="A46" i="1"/>
  <c r="A47" i="1"/>
  <c r="E47" i="1" s="1"/>
  <c r="A48" i="1"/>
  <c r="E48" i="1" s="1"/>
  <c r="F48" i="1" s="1"/>
  <c r="A49" i="1"/>
  <c r="A50" i="1"/>
  <c r="A51" i="1"/>
  <c r="E51" i="1" s="1"/>
  <c r="A52" i="1"/>
  <c r="A53" i="1"/>
  <c r="A54" i="1"/>
  <c r="A55" i="1"/>
  <c r="A56" i="1"/>
  <c r="A57" i="1"/>
  <c r="E57" i="1" s="1"/>
  <c r="A58" i="1"/>
  <c r="A59" i="1"/>
  <c r="E59" i="1" s="1"/>
  <c r="A60" i="1"/>
  <c r="X60" i="1" s="1"/>
  <c r="A61" i="1"/>
  <c r="A62" i="1"/>
  <c r="A63" i="1"/>
  <c r="A64" i="1"/>
  <c r="A65" i="1"/>
  <c r="A66" i="1"/>
  <c r="A67" i="1"/>
  <c r="A68" i="1"/>
  <c r="A69" i="1"/>
  <c r="A70" i="1"/>
  <c r="E70" i="1" s="1"/>
  <c r="A71" i="1"/>
  <c r="E71" i="1" s="1"/>
  <c r="F71" i="1" s="1"/>
  <c r="A72" i="1"/>
  <c r="A73" i="1"/>
  <c r="A74" i="1"/>
  <c r="A75" i="1"/>
  <c r="X75" i="1" s="1"/>
  <c r="A76" i="1"/>
  <c r="X76" i="1" s="1"/>
  <c r="A77" i="1"/>
  <c r="A78" i="1"/>
  <c r="A79" i="1"/>
  <c r="E79" i="1" s="1"/>
  <c r="A80" i="1"/>
  <c r="E80" i="1" s="1"/>
  <c r="A81" i="1"/>
  <c r="A82" i="1"/>
  <c r="A83" i="1"/>
  <c r="A84" i="1"/>
  <c r="A85" i="1"/>
  <c r="A86" i="1"/>
  <c r="A87" i="1"/>
  <c r="A88" i="1"/>
  <c r="A89" i="1"/>
  <c r="A90" i="1"/>
  <c r="A91" i="1"/>
  <c r="A92" i="1"/>
  <c r="X92" i="1" s="1"/>
  <c r="A93" i="1"/>
  <c r="A94" i="1"/>
  <c r="E94" i="1" s="1"/>
  <c r="A95" i="1"/>
  <c r="A96" i="1"/>
  <c r="A97" i="1"/>
  <c r="A98" i="1"/>
  <c r="A99" i="1"/>
  <c r="A100" i="1"/>
  <c r="A101" i="1"/>
  <c r="A102" i="1"/>
  <c r="A103" i="1"/>
  <c r="E103" i="1" s="1"/>
  <c r="A104" i="1"/>
  <c r="E104" i="1" s="1"/>
  <c r="A105" i="1"/>
  <c r="A106" i="1"/>
  <c r="A107" i="1"/>
  <c r="A108" i="1"/>
  <c r="X108" i="1" s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X123" i="1" s="1"/>
  <c r="A124" i="1"/>
  <c r="X124" i="1" s="1"/>
  <c r="A125" i="1"/>
  <c r="A126" i="1"/>
  <c r="E126" i="1" s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E142" i="1" s="1"/>
  <c r="A143" i="1"/>
  <c r="A144" i="1"/>
  <c r="A145" i="1"/>
  <c r="A146" i="1"/>
  <c r="E146" i="1" s="1"/>
  <c r="A147" i="1"/>
  <c r="A148" i="1"/>
  <c r="A149" i="1"/>
  <c r="A150" i="1"/>
  <c r="E150" i="1" s="1"/>
  <c r="A151" i="1"/>
  <c r="E151" i="1" s="1"/>
  <c r="A152" i="1"/>
  <c r="A153" i="1"/>
  <c r="A154" i="1"/>
  <c r="A155" i="1"/>
  <c r="A156" i="1"/>
  <c r="X156" i="1" s="1"/>
  <c r="A157" i="1"/>
  <c r="A158" i="1"/>
  <c r="E158" i="1" s="1"/>
  <c r="A159" i="1"/>
  <c r="A160" i="1"/>
  <c r="A161" i="1"/>
  <c r="A162" i="1"/>
  <c r="A163" i="1"/>
  <c r="A164" i="1"/>
  <c r="A165" i="1"/>
  <c r="A166" i="1"/>
  <c r="E166" i="1" s="1"/>
  <c r="A167" i="1"/>
  <c r="A168" i="1"/>
  <c r="A169" i="1"/>
  <c r="A170" i="1"/>
  <c r="A171" i="1"/>
  <c r="E171" i="1" s="1"/>
  <c r="A172" i="1"/>
  <c r="X172" i="1" s="1"/>
  <c r="A173" i="1"/>
  <c r="A174" i="1"/>
  <c r="E174" i="1" s="1"/>
  <c r="A175" i="1"/>
  <c r="E175" i="1" s="1"/>
  <c r="A176" i="1"/>
  <c r="A177" i="1"/>
  <c r="A178" i="1"/>
  <c r="A179" i="1"/>
  <c r="A180" i="1"/>
  <c r="A181" i="1"/>
  <c r="A182" i="1"/>
  <c r="E182" i="1" s="1"/>
  <c r="A183" i="1"/>
  <c r="A184" i="1"/>
  <c r="A185" i="1"/>
  <c r="A186" i="1"/>
  <c r="A187" i="1"/>
  <c r="A188" i="1"/>
  <c r="E188" i="1" s="1"/>
  <c r="A189" i="1"/>
  <c r="A190" i="1"/>
  <c r="A191" i="1"/>
  <c r="E191" i="1" s="1"/>
  <c r="F191" i="1" s="1"/>
  <c r="Z191" i="1" s="1"/>
  <c r="A192" i="1"/>
  <c r="A193" i="1"/>
  <c r="A194" i="1"/>
  <c r="A195" i="1"/>
  <c r="A196" i="1"/>
  <c r="A197" i="1"/>
  <c r="A198" i="1"/>
  <c r="A199" i="1"/>
  <c r="E199" i="1" s="1"/>
  <c r="A200" i="1"/>
  <c r="A201" i="1"/>
  <c r="A202" i="1"/>
  <c r="A203" i="1"/>
  <c r="A204" i="1"/>
  <c r="E204" i="1" s="1"/>
  <c r="A205" i="1"/>
  <c r="A206" i="1"/>
  <c r="A207" i="1"/>
  <c r="E207" i="1" s="1"/>
  <c r="A208" i="1"/>
  <c r="A209" i="1"/>
  <c r="A210" i="1"/>
  <c r="A211" i="1"/>
  <c r="A212" i="1"/>
  <c r="A213" i="1"/>
  <c r="A214" i="1"/>
  <c r="A215" i="1"/>
  <c r="E215" i="1" s="1"/>
  <c r="A216" i="1"/>
  <c r="A217" i="1"/>
  <c r="A218" i="1"/>
  <c r="A219" i="1"/>
  <c r="A220" i="1"/>
  <c r="X220" i="1" s="1"/>
  <c r="A221" i="1"/>
  <c r="X221" i="1" s="1"/>
  <c r="A222" i="1"/>
  <c r="E222" i="1" s="1"/>
  <c r="A223" i="1"/>
  <c r="A224" i="1"/>
  <c r="E224" i="1" s="1"/>
  <c r="A225" i="1"/>
  <c r="A226" i="1"/>
  <c r="A227" i="1"/>
  <c r="A228" i="1"/>
  <c r="A229" i="1"/>
  <c r="X229" i="1" s="1"/>
  <c r="A230" i="1"/>
  <c r="E230" i="1" s="1"/>
  <c r="A231" i="1"/>
  <c r="E231" i="1" s="1"/>
  <c r="A232" i="1"/>
  <c r="A233" i="1"/>
  <c r="A234" i="1"/>
  <c r="A235" i="1"/>
  <c r="A236" i="1"/>
  <c r="A237" i="1"/>
  <c r="X237" i="1" s="1"/>
  <c r="A238" i="1"/>
  <c r="A239" i="1"/>
  <c r="E239" i="1" s="1"/>
  <c r="A240" i="1"/>
  <c r="E240" i="1" s="1"/>
  <c r="A241" i="1"/>
  <c r="A242" i="1"/>
  <c r="A243" i="1"/>
  <c r="A244" i="1"/>
  <c r="X244" i="1" s="1"/>
  <c r="A245" i="1"/>
  <c r="X245" i="1" s="1"/>
  <c r="A246" i="1"/>
  <c r="A247" i="1"/>
  <c r="E247" i="1" s="1"/>
  <c r="A248" i="1"/>
  <c r="A249" i="1"/>
  <c r="A250" i="1"/>
  <c r="X250" i="1" s="1"/>
  <c r="A251" i="1"/>
  <c r="A252" i="1"/>
  <c r="A13" i="1"/>
  <c r="E13" i="1" s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E198" i="1"/>
  <c r="E82" i="1"/>
  <c r="E9" i="1"/>
  <c r="E10" i="1" s="1"/>
  <c r="E7" i="1"/>
  <c r="E8" i="1" s="1"/>
  <c r="E6" i="1"/>
  <c r="E5" i="1"/>
  <c r="B13" i="1" l="1"/>
  <c r="D13" i="1" s="1"/>
  <c r="B14" i="1" s="1"/>
  <c r="C14" i="1" s="1"/>
  <c r="C13" i="1"/>
  <c r="E135" i="1"/>
  <c r="F135" i="1" s="1"/>
  <c r="Z135" i="1" s="1"/>
  <c r="F199" i="1"/>
  <c r="Z199" i="1" s="1"/>
  <c r="F188" i="1"/>
  <c r="Z188" i="1" s="1"/>
  <c r="E232" i="1"/>
  <c r="F232" i="1" s="1"/>
  <c r="Z232" i="1" s="1"/>
  <c r="F51" i="1"/>
  <c r="Z51" i="1" s="1"/>
  <c r="F168" i="1"/>
  <c r="F80" i="1"/>
  <c r="Z80" i="1" s="1"/>
  <c r="X248" i="1"/>
  <c r="X155" i="1"/>
  <c r="X91" i="1"/>
  <c r="X107" i="1"/>
  <c r="X140" i="1"/>
  <c r="F171" i="1"/>
  <c r="Z171" i="1" s="1"/>
  <c r="F82" i="1"/>
  <c r="Z82" i="1" s="1"/>
  <c r="X139" i="1"/>
  <c r="X171" i="1"/>
  <c r="X249" i="1"/>
  <c r="X204" i="1"/>
  <c r="F59" i="1"/>
  <c r="Z59" i="1" s="1"/>
  <c r="X188" i="1"/>
  <c r="X59" i="1"/>
  <c r="X235" i="1"/>
  <c r="X195" i="1"/>
  <c r="X211" i="1"/>
  <c r="X251" i="1"/>
  <c r="X243" i="1"/>
  <c r="E219" i="1"/>
  <c r="F219" i="1" s="1"/>
  <c r="Z219" i="1" s="1"/>
  <c r="X219" i="1"/>
  <c r="X203" i="1"/>
  <c r="X179" i="1"/>
  <c r="Z71" i="1"/>
  <c r="X227" i="1"/>
  <c r="X187" i="1"/>
  <c r="X162" i="1"/>
  <c r="E170" i="1"/>
  <c r="F170" i="1" s="1"/>
  <c r="Z170" i="1" s="1"/>
  <c r="X225" i="1"/>
  <c r="F57" i="1"/>
  <c r="Z57" i="1" s="1"/>
  <c r="F25" i="1"/>
  <c r="Z25" i="1" s="1"/>
  <c r="X218" i="1"/>
  <c r="X58" i="1"/>
  <c r="E58" i="1"/>
  <c r="F58" i="1" s="1"/>
  <c r="Z58" i="1" s="1"/>
  <c r="X216" i="1"/>
  <c r="X184" i="1"/>
  <c r="X144" i="1"/>
  <c r="X112" i="1"/>
  <c r="X88" i="1"/>
  <c r="X56" i="1"/>
  <c r="X24" i="1"/>
  <c r="X217" i="1"/>
  <c r="X121" i="1"/>
  <c r="X57" i="1"/>
  <c r="X223" i="1"/>
  <c r="X215" i="1"/>
  <c r="F215" i="1"/>
  <c r="Z215" i="1" s="1"/>
  <c r="X207" i="1"/>
  <c r="F207" i="1"/>
  <c r="Z207" i="1" s="1"/>
  <c r="X183" i="1"/>
  <c r="X175" i="1"/>
  <c r="F175" i="1"/>
  <c r="X167" i="1"/>
  <c r="X159" i="1"/>
  <c r="X151" i="1"/>
  <c r="F151" i="1"/>
  <c r="Z151" i="1" s="1"/>
  <c r="X143" i="1"/>
  <c r="X135" i="1"/>
  <c r="X127" i="1"/>
  <c r="X119" i="1"/>
  <c r="X111" i="1"/>
  <c r="X103" i="1"/>
  <c r="X95" i="1"/>
  <c r="X87" i="1"/>
  <c r="X79" i="1"/>
  <c r="F79" i="1"/>
  <c r="Z79" i="1" s="1"/>
  <c r="X71" i="1"/>
  <c r="X63" i="1"/>
  <c r="X55" i="1"/>
  <c r="X47" i="1"/>
  <c r="F47" i="1"/>
  <c r="Z47" i="1" s="1"/>
  <c r="X39" i="1"/>
  <c r="X31" i="1"/>
  <c r="X23" i="1"/>
  <c r="X15" i="1"/>
  <c r="F146" i="1"/>
  <c r="Z146" i="1" s="1"/>
  <c r="F104" i="1"/>
  <c r="X210" i="1"/>
  <c r="X178" i="1"/>
  <c r="X130" i="1"/>
  <c r="X66" i="1"/>
  <c r="X50" i="1"/>
  <c r="X18" i="1"/>
  <c r="X209" i="1"/>
  <c r="X145" i="1"/>
  <c r="E105" i="1"/>
  <c r="F105" i="1" s="1"/>
  <c r="Z105" i="1" s="1"/>
  <c r="X49" i="1"/>
  <c r="X17" i="1"/>
  <c r="X154" i="1"/>
  <c r="X26" i="1"/>
  <c r="X240" i="1"/>
  <c r="X224" i="1"/>
  <c r="X192" i="1"/>
  <c r="X168" i="1"/>
  <c r="X152" i="1"/>
  <c r="X120" i="1"/>
  <c r="X96" i="1"/>
  <c r="X72" i="1"/>
  <c r="X64" i="1"/>
  <c r="X32" i="1"/>
  <c r="F18" i="1"/>
  <c r="Z18" i="1" s="1"/>
  <c r="X185" i="1"/>
  <c r="X153" i="1"/>
  <c r="X89" i="1"/>
  <c r="X25" i="1"/>
  <c r="X239" i="1"/>
  <c r="F239" i="1"/>
  <c r="Z239" i="1" s="1"/>
  <c r="X199" i="1"/>
  <c r="X246" i="1"/>
  <c r="X238" i="1"/>
  <c r="X230" i="1"/>
  <c r="F230" i="1"/>
  <c r="Z230" i="1" s="1"/>
  <c r="X222" i="1"/>
  <c r="F222" i="1"/>
  <c r="Z222" i="1" s="1"/>
  <c r="X214" i="1"/>
  <c r="X206" i="1"/>
  <c r="X198" i="1"/>
  <c r="F198" i="1"/>
  <c r="F103" i="1"/>
  <c r="Z103" i="1" s="1"/>
  <c r="F39" i="1"/>
  <c r="Z39" i="1" s="1"/>
  <c r="X234" i="1"/>
  <c r="X242" i="1"/>
  <c r="X194" i="1"/>
  <c r="X98" i="1"/>
  <c r="X241" i="1"/>
  <c r="X177" i="1"/>
  <c r="X113" i="1"/>
  <c r="X81" i="1"/>
  <c r="X186" i="1"/>
  <c r="X90" i="1"/>
  <c r="X200" i="1"/>
  <c r="X160" i="1"/>
  <c r="X128" i="1"/>
  <c r="X40" i="1"/>
  <c r="E106" i="1"/>
  <c r="F106" i="1" s="1"/>
  <c r="Z106" i="1" s="1"/>
  <c r="X247" i="1"/>
  <c r="F247" i="1"/>
  <c r="Z247" i="1" s="1"/>
  <c r="X231" i="1"/>
  <c r="F231" i="1"/>
  <c r="Z231" i="1" s="1"/>
  <c r="X191" i="1"/>
  <c r="E40" i="1"/>
  <c r="F40" i="1" s="1"/>
  <c r="Z40" i="1" s="1"/>
  <c r="E112" i="1"/>
  <c r="F112" i="1" s="1"/>
  <c r="F240" i="1"/>
  <c r="Z240" i="1" s="1"/>
  <c r="F224" i="1"/>
  <c r="X233" i="1"/>
  <c r="X202" i="1"/>
  <c r="X170" i="1"/>
  <c r="X138" i="1"/>
  <c r="X106" i="1"/>
  <c r="X74" i="1"/>
  <c r="X42" i="1"/>
  <c r="X226" i="1"/>
  <c r="X146" i="1"/>
  <c r="X114" i="1"/>
  <c r="X82" i="1"/>
  <c r="X34" i="1"/>
  <c r="X193" i="1"/>
  <c r="X161" i="1"/>
  <c r="X129" i="1"/>
  <c r="X97" i="1"/>
  <c r="X65" i="1"/>
  <c r="X33" i="1"/>
  <c r="X122" i="1"/>
  <c r="X208" i="1"/>
  <c r="X176" i="1"/>
  <c r="X136" i="1"/>
  <c r="X104" i="1"/>
  <c r="X80" i="1"/>
  <c r="X48" i="1"/>
  <c r="X16" i="1"/>
  <c r="E42" i="1"/>
  <c r="F42" i="1" s="1"/>
  <c r="Z42" i="1" s="1"/>
  <c r="E81" i="1"/>
  <c r="F81" i="1" s="1"/>
  <c r="Z81" i="1" s="1"/>
  <c r="E88" i="1"/>
  <c r="F88" i="1" s="1"/>
  <c r="E136" i="1"/>
  <c r="F136" i="1" s="1"/>
  <c r="E183" i="1"/>
  <c r="F183" i="1" s="1"/>
  <c r="E200" i="1"/>
  <c r="F200" i="1" s="1"/>
  <c r="E223" i="1"/>
  <c r="F223" i="1" s="1"/>
  <c r="Z223" i="1" s="1"/>
  <c r="E252" i="1"/>
  <c r="F252" i="1"/>
  <c r="Z252" i="1" s="1"/>
  <c r="X252" i="1"/>
  <c r="X236" i="1"/>
  <c r="X228" i="1"/>
  <c r="F31" i="1"/>
  <c r="Z31" i="1" s="1"/>
  <c r="X232" i="1"/>
  <c r="X201" i="1"/>
  <c r="X169" i="1"/>
  <c r="X137" i="1"/>
  <c r="X105" i="1"/>
  <c r="X73" i="1"/>
  <c r="X41" i="1"/>
  <c r="X190" i="1"/>
  <c r="X182" i="1"/>
  <c r="F182" i="1"/>
  <c r="Z182" i="1" s="1"/>
  <c r="X174" i="1"/>
  <c r="F174" i="1"/>
  <c r="Z174" i="1" s="1"/>
  <c r="X166" i="1"/>
  <c r="F166" i="1"/>
  <c r="X158" i="1"/>
  <c r="F158" i="1"/>
  <c r="Z158" i="1" s="1"/>
  <c r="X150" i="1"/>
  <c r="F150" i="1"/>
  <c r="Z150" i="1" s="1"/>
  <c r="X142" i="1"/>
  <c r="F142" i="1"/>
  <c r="Z142" i="1" s="1"/>
  <c r="X134" i="1"/>
  <c r="X126" i="1"/>
  <c r="F126" i="1"/>
  <c r="X118" i="1"/>
  <c r="X110" i="1"/>
  <c r="X102" i="1"/>
  <c r="X94" i="1"/>
  <c r="F94" i="1"/>
  <c r="X86" i="1"/>
  <c r="X78" i="1"/>
  <c r="X70" i="1"/>
  <c r="F70" i="1"/>
  <c r="X62" i="1"/>
  <c r="X54" i="1"/>
  <c r="X46" i="1"/>
  <c r="X38" i="1"/>
  <c r="F38" i="1"/>
  <c r="Z38" i="1" s="1"/>
  <c r="X30" i="1"/>
  <c r="X22" i="1"/>
  <c r="X14" i="1"/>
  <c r="F14" i="1"/>
  <c r="Z14" i="1" s="1"/>
  <c r="X212" i="1"/>
  <c r="X196" i="1"/>
  <c r="X180" i="1"/>
  <c r="X164" i="1"/>
  <c r="X148" i="1"/>
  <c r="X132" i="1"/>
  <c r="X116" i="1"/>
  <c r="X100" i="1"/>
  <c r="X84" i="1"/>
  <c r="X68" i="1"/>
  <c r="X52" i="1"/>
  <c r="X36" i="1"/>
  <c r="X20" i="1"/>
  <c r="X13" i="1"/>
  <c r="X213" i="1"/>
  <c r="X205" i="1"/>
  <c r="X197" i="1"/>
  <c r="X189" i="1"/>
  <c r="X181" i="1"/>
  <c r="X173" i="1"/>
  <c r="X165" i="1"/>
  <c r="X157" i="1"/>
  <c r="X149" i="1"/>
  <c r="F149" i="1"/>
  <c r="X141" i="1"/>
  <c r="X133" i="1"/>
  <c r="X125" i="1"/>
  <c r="X117" i="1"/>
  <c r="X109" i="1"/>
  <c r="X101" i="1"/>
  <c r="X93" i="1"/>
  <c r="X85" i="1"/>
  <c r="X77" i="1"/>
  <c r="X69" i="1"/>
  <c r="X61" i="1"/>
  <c r="X53" i="1"/>
  <c r="X45" i="1"/>
  <c r="X37" i="1"/>
  <c r="X29" i="1"/>
  <c r="X21" i="1"/>
  <c r="F204" i="1"/>
  <c r="Z204" i="1" s="1"/>
  <c r="X163" i="1"/>
  <c r="X147" i="1"/>
  <c r="X131" i="1"/>
  <c r="X115" i="1"/>
  <c r="X99" i="1"/>
  <c r="X83" i="1"/>
  <c r="X67" i="1"/>
  <c r="X51" i="1"/>
  <c r="X35" i="1"/>
  <c r="X19" i="1"/>
  <c r="F13" i="1"/>
  <c r="E181" i="1"/>
  <c r="F181" i="1" s="1"/>
  <c r="Z181" i="1" s="1"/>
  <c r="E69" i="1"/>
  <c r="F69" i="1" s="1"/>
  <c r="E29" i="1"/>
  <c r="E53" i="1"/>
  <c r="F53" i="1" s="1"/>
  <c r="Z53" i="1" s="1"/>
  <c r="E149" i="1"/>
  <c r="E220" i="1"/>
  <c r="F220" i="1" s="1"/>
  <c r="Z220" i="1" s="1"/>
  <c r="E124" i="1"/>
  <c r="F124" i="1" s="1"/>
  <c r="Z124" i="1" s="1"/>
  <c r="E251" i="1"/>
  <c r="F251" i="1" s="1"/>
  <c r="E227" i="1"/>
  <c r="F227" i="1" s="1"/>
  <c r="Z227" i="1" s="1"/>
  <c r="E179" i="1"/>
  <c r="F179" i="1" s="1"/>
  <c r="Z179" i="1" s="1"/>
  <c r="E107" i="1"/>
  <c r="F107" i="1" s="1"/>
  <c r="Z107" i="1" s="1"/>
  <c r="E196" i="1"/>
  <c r="F196" i="1" s="1"/>
  <c r="Z196" i="1" s="1"/>
  <c r="E228" i="1"/>
  <c r="F228" i="1" s="1"/>
  <c r="E189" i="1"/>
  <c r="F189" i="1" s="1"/>
  <c r="Z189" i="1"/>
  <c r="E141" i="1"/>
  <c r="F141" i="1" s="1"/>
  <c r="E93" i="1"/>
  <c r="F93" i="1" s="1"/>
  <c r="E92" i="1"/>
  <c r="F92" i="1" s="1"/>
  <c r="E52" i="1"/>
  <c r="F52" i="1" s="1"/>
  <c r="Z52" i="1" s="1"/>
  <c r="E243" i="1"/>
  <c r="F243" i="1" s="1"/>
  <c r="Z243" i="1" s="1"/>
  <c r="E187" i="1"/>
  <c r="F187" i="1" s="1"/>
  <c r="E115" i="1"/>
  <c r="F115" i="1" s="1"/>
  <c r="Z115" i="1" s="1"/>
  <c r="E83" i="1"/>
  <c r="F83" i="1" s="1"/>
  <c r="E125" i="1"/>
  <c r="F125" i="1" s="1"/>
  <c r="Z125" i="1" s="1"/>
  <c r="E37" i="1"/>
  <c r="E60" i="1"/>
  <c r="E235" i="1"/>
  <c r="F235" i="1" s="1"/>
  <c r="Z235" i="1" s="1"/>
  <c r="E211" i="1"/>
  <c r="F211" i="1" s="1"/>
  <c r="Z211" i="1" s="1"/>
  <c r="E195" i="1"/>
  <c r="F195" i="1" s="1"/>
  <c r="Z195" i="1" s="1"/>
  <c r="E147" i="1"/>
  <c r="F147" i="1" s="1"/>
  <c r="Z147" i="1" s="1"/>
  <c r="E67" i="1"/>
  <c r="F67" i="1" s="1"/>
  <c r="E203" i="1"/>
  <c r="F203" i="1" s="1"/>
  <c r="Z203" i="1" s="1"/>
  <c r="E21" i="1"/>
  <c r="F21" i="1" s="1"/>
  <c r="Z21" i="1" s="1"/>
  <c r="E202" i="1"/>
  <c r="F202" i="1" s="1"/>
  <c r="Z202" i="1" s="1"/>
  <c r="E154" i="1"/>
  <c r="F154" i="1" s="1"/>
  <c r="Z154" i="1" s="1"/>
  <c r="E114" i="1"/>
  <c r="F114" i="1" s="1"/>
  <c r="E74" i="1"/>
  <c r="F74" i="1" s="1"/>
  <c r="Z74" i="1" s="1"/>
  <c r="E49" i="1"/>
  <c r="E234" i="1"/>
  <c r="F234" i="1" s="1"/>
  <c r="E162" i="1"/>
  <c r="F162" i="1" s="1"/>
  <c r="Z162" i="1" s="1"/>
  <c r="E129" i="1"/>
  <c r="F129" i="1" s="1"/>
  <c r="Z129" i="1" s="1"/>
  <c r="E113" i="1"/>
  <c r="F113" i="1" s="1"/>
  <c r="E97" i="1"/>
  <c r="F97" i="1" s="1"/>
  <c r="E178" i="1"/>
  <c r="F178" i="1" s="1"/>
  <c r="Z178" i="1" s="1"/>
  <c r="E169" i="1"/>
  <c r="F169" i="1" s="1"/>
  <c r="E153" i="1"/>
  <c r="F153" i="1" s="1"/>
  <c r="Z153" i="1" s="1"/>
  <c r="E137" i="1"/>
  <c r="F137" i="1" s="1"/>
  <c r="Z137" i="1" s="1"/>
  <c r="E17" i="1"/>
  <c r="E63" i="1"/>
  <c r="F63" i="1" s="1"/>
  <c r="Z63" i="1" s="1"/>
  <c r="E73" i="1"/>
  <c r="F73" i="1" s="1"/>
  <c r="E30" i="1"/>
  <c r="E50" i="1"/>
  <c r="E64" i="1"/>
  <c r="F64" i="1" s="1"/>
  <c r="E100" i="1"/>
  <c r="F100" i="1" s="1"/>
  <c r="Z100" i="1" s="1"/>
  <c r="E139" i="1"/>
  <c r="F139" i="1" s="1"/>
  <c r="E205" i="1"/>
  <c r="F205" i="1" s="1"/>
  <c r="E237" i="1"/>
  <c r="F237" i="1" s="1"/>
  <c r="E27" i="1"/>
  <c r="E36" i="1"/>
  <c r="F36" i="1" s="1"/>
  <c r="Z36" i="1" s="1"/>
  <c r="E109" i="1"/>
  <c r="F109" i="1" s="1"/>
  <c r="E225" i="1"/>
  <c r="F225" i="1" s="1"/>
  <c r="Z225" i="1" s="1"/>
  <c r="E236" i="1"/>
  <c r="F236" i="1" s="1"/>
  <c r="E44" i="1"/>
  <c r="E131" i="1"/>
  <c r="F131" i="1" s="1"/>
  <c r="E190" i="1"/>
  <c r="F190" i="1" s="1"/>
  <c r="Z190" i="1" s="1"/>
  <c r="E111" i="1"/>
  <c r="F111" i="1" s="1"/>
  <c r="E144" i="1"/>
  <c r="F144" i="1" s="1"/>
  <c r="E159" i="1"/>
  <c r="F159" i="1" s="1"/>
  <c r="Z159" i="1" s="1"/>
  <c r="E214" i="1"/>
  <c r="F214" i="1" s="1"/>
  <c r="Z214" i="1" s="1"/>
  <c r="E28" i="1"/>
  <c r="E85" i="1"/>
  <c r="F85" i="1" s="1"/>
  <c r="Z85" i="1" s="1"/>
  <c r="E91" i="1"/>
  <c r="F91" i="1" s="1"/>
  <c r="Z91" i="1" s="1"/>
  <c r="E156" i="1"/>
  <c r="F156" i="1" s="1"/>
  <c r="E164" i="1"/>
  <c r="F164" i="1" s="1"/>
  <c r="Z164" i="1" s="1"/>
  <c r="E177" i="1"/>
  <c r="F177" i="1" s="1"/>
  <c r="E193" i="1"/>
  <c r="F193" i="1" s="1"/>
  <c r="Z193" i="1" s="1"/>
  <c r="E242" i="1"/>
  <c r="F242" i="1" s="1"/>
  <c r="Z242" i="1" s="1"/>
  <c r="E245" i="1"/>
  <c r="F245" i="1" s="1"/>
  <c r="E43" i="1"/>
  <c r="F43" i="1" s="1"/>
  <c r="E56" i="1"/>
  <c r="E26" i="1"/>
  <c r="F26" i="1" s="1"/>
  <c r="E78" i="1"/>
  <c r="F78" i="1" s="1"/>
  <c r="Z78" i="1" s="1"/>
  <c r="E217" i="1"/>
  <c r="F217" i="1" s="1"/>
  <c r="E35" i="1"/>
  <c r="F35" i="1" s="1"/>
  <c r="Z35" i="1" s="1"/>
  <c r="E55" i="1"/>
  <c r="F55" i="1" s="1"/>
  <c r="Z55" i="1" s="1"/>
  <c r="E72" i="1"/>
  <c r="F72" i="1" s="1"/>
  <c r="Z72" i="1" s="1"/>
  <c r="E86" i="1"/>
  <c r="F86" i="1" s="1"/>
  <c r="E96" i="1"/>
  <c r="F96" i="1" s="1"/>
  <c r="Z96" i="1" s="1"/>
  <c r="E102" i="1"/>
  <c r="F102" i="1" s="1"/>
  <c r="E118" i="1"/>
  <c r="F118" i="1" s="1"/>
  <c r="Z118" i="1" s="1"/>
  <c r="E128" i="1"/>
  <c r="F128" i="1" s="1"/>
  <c r="Z128" i="1" s="1"/>
  <c r="E133" i="1"/>
  <c r="F133" i="1" s="1"/>
  <c r="Z133" i="1" s="1"/>
  <c r="E172" i="1"/>
  <c r="F172" i="1" s="1"/>
  <c r="Z172" i="1" s="1"/>
  <c r="E186" i="1"/>
  <c r="F186" i="1" s="1"/>
  <c r="Z186" i="1" s="1"/>
  <c r="E218" i="1"/>
  <c r="F218" i="1" s="1"/>
  <c r="Z218" i="1" s="1"/>
  <c r="E123" i="1"/>
  <c r="F123" i="1" s="1"/>
  <c r="E209" i="1"/>
  <c r="F209" i="1" s="1"/>
  <c r="E221" i="1"/>
  <c r="F221" i="1" s="1"/>
  <c r="Z221" i="1" s="1"/>
  <c r="E19" i="1"/>
  <c r="F19" i="1" s="1"/>
  <c r="E90" i="1"/>
  <c r="F90" i="1" s="1"/>
  <c r="Z90" i="1" s="1"/>
  <c r="E160" i="1"/>
  <c r="F160" i="1" s="1"/>
  <c r="Z160" i="1" s="1"/>
  <c r="E168" i="1"/>
  <c r="E212" i="1"/>
  <c r="F212" i="1" s="1"/>
  <c r="E226" i="1"/>
  <c r="F226" i="1" s="1"/>
  <c r="Z226" i="1" s="1"/>
  <c r="E15" i="1"/>
  <c r="F15" i="1" s="1"/>
  <c r="E68" i="1"/>
  <c r="F68" i="1" s="1"/>
  <c r="Z68" i="1" s="1"/>
  <c r="E75" i="1"/>
  <c r="F75" i="1" s="1"/>
  <c r="E95" i="1"/>
  <c r="F95" i="1" s="1"/>
  <c r="Z95" i="1" s="1"/>
  <c r="E110" i="1"/>
  <c r="F110" i="1" s="1"/>
  <c r="Z110" i="1" s="1"/>
  <c r="E140" i="1"/>
  <c r="F140" i="1" s="1"/>
  <c r="Z140" i="1" s="1"/>
  <c r="E163" i="1"/>
  <c r="F163" i="1" s="1"/>
  <c r="Z163" i="1" s="1"/>
  <c r="E165" i="1"/>
  <c r="F165" i="1" s="1"/>
  <c r="Z165" i="1" s="1"/>
  <c r="E173" i="1"/>
  <c r="F173" i="1" s="1"/>
  <c r="E246" i="1"/>
  <c r="F246" i="1" s="1"/>
  <c r="E77" i="1"/>
  <c r="F77" i="1" s="1"/>
  <c r="Z77" i="1" s="1"/>
  <c r="E116" i="1"/>
  <c r="F116" i="1" s="1"/>
  <c r="Z116" i="1" s="1"/>
  <c r="E34" i="1"/>
  <c r="E216" i="1"/>
  <c r="F216" i="1" s="1"/>
  <c r="E24" i="1"/>
  <c r="F24" i="1" s="1"/>
  <c r="E33" i="1"/>
  <c r="F33" i="1" s="1"/>
  <c r="Z33" i="1" s="1"/>
  <c r="E32" i="1"/>
  <c r="F32" i="1" s="1"/>
  <c r="E62" i="1"/>
  <c r="F62" i="1" s="1"/>
  <c r="Z62" i="1" s="1"/>
  <c r="E66" i="1"/>
  <c r="F66" i="1" s="1"/>
  <c r="E89" i="1"/>
  <c r="F89" i="1" s="1"/>
  <c r="E108" i="1"/>
  <c r="F108" i="1" s="1"/>
  <c r="E119" i="1"/>
  <c r="F119" i="1" s="1"/>
  <c r="E127" i="1"/>
  <c r="F127" i="1" s="1"/>
  <c r="E132" i="1"/>
  <c r="F132" i="1" s="1"/>
  <c r="Z132" i="1" s="1"/>
  <c r="E145" i="1"/>
  <c r="F145" i="1" s="1"/>
  <c r="E238" i="1"/>
  <c r="F238" i="1" s="1"/>
  <c r="Z238" i="1" s="1"/>
  <c r="E248" i="1"/>
  <c r="F248" i="1" s="1"/>
  <c r="E23" i="1"/>
  <c r="F23" i="1" s="1"/>
  <c r="E54" i="1"/>
  <c r="E76" i="1"/>
  <c r="F76" i="1" s="1"/>
  <c r="E20" i="1"/>
  <c r="F20" i="1" s="1"/>
  <c r="Z20" i="1" s="1"/>
  <c r="E16" i="1"/>
  <c r="E22" i="1"/>
  <c r="F22" i="1" s="1"/>
  <c r="E41" i="1"/>
  <c r="F41" i="1" s="1"/>
  <c r="E45" i="1"/>
  <c r="F45" i="1" s="1"/>
  <c r="E46" i="1"/>
  <c r="F46" i="1" s="1"/>
  <c r="E61" i="1"/>
  <c r="F61" i="1" s="1"/>
  <c r="Z61" i="1" s="1"/>
  <c r="E65" i="1"/>
  <c r="F65" i="1" s="1"/>
  <c r="E84" i="1"/>
  <c r="F84" i="1" s="1"/>
  <c r="Z84" i="1" s="1"/>
  <c r="E87" i="1"/>
  <c r="F87" i="1" s="1"/>
  <c r="Z87" i="1" s="1"/>
  <c r="E101" i="1"/>
  <c r="F101" i="1" s="1"/>
  <c r="E117" i="1"/>
  <c r="F117" i="1" s="1"/>
  <c r="Z117" i="1" s="1"/>
  <c r="E122" i="1"/>
  <c r="F122" i="1" s="1"/>
  <c r="E134" i="1"/>
  <c r="F134" i="1" s="1"/>
  <c r="Z134" i="1" s="1"/>
  <c r="E138" i="1"/>
  <c r="F138" i="1" s="1"/>
  <c r="Z138" i="1" s="1"/>
  <c r="E143" i="1"/>
  <c r="F143" i="1" s="1"/>
  <c r="E155" i="1"/>
  <c r="F155" i="1" s="1"/>
  <c r="Z155" i="1" s="1"/>
  <c r="E130" i="1"/>
  <c r="F130" i="1" s="1"/>
  <c r="Z130" i="1" s="1"/>
  <c r="E167" i="1"/>
  <c r="F167" i="1" s="1"/>
  <c r="Z167" i="1" s="1"/>
  <c r="Z48" i="1"/>
  <c r="E99" i="1"/>
  <c r="F99" i="1" s="1"/>
  <c r="Z99" i="1" s="1"/>
  <c r="E121" i="1"/>
  <c r="F121" i="1" s="1"/>
  <c r="E157" i="1"/>
  <c r="F157" i="1" s="1"/>
  <c r="E241" i="1"/>
  <c r="F241" i="1" s="1"/>
  <c r="E250" i="1"/>
  <c r="F250" i="1" s="1"/>
  <c r="Z250" i="1" s="1"/>
  <c r="E176" i="1"/>
  <c r="F176" i="1" s="1"/>
  <c r="E185" i="1"/>
  <c r="F185" i="1" s="1"/>
  <c r="Z185" i="1" s="1"/>
  <c r="E98" i="1"/>
  <c r="F98" i="1" s="1"/>
  <c r="E120" i="1"/>
  <c r="F120" i="1" s="1"/>
  <c r="E161" i="1"/>
  <c r="F161" i="1" s="1"/>
  <c r="E192" i="1"/>
  <c r="F192" i="1" s="1"/>
  <c r="E194" i="1"/>
  <c r="F194" i="1" s="1"/>
  <c r="E208" i="1"/>
  <c r="F208" i="1" s="1"/>
  <c r="Z208" i="1" s="1"/>
  <c r="E213" i="1"/>
  <c r="F213" i="1" s="1"/>
  <c r="E152" i="1"/>
  <c r="F152" i="1" s="1"/>
  <c r="E184" i="1"/>
  <c r="F184" i="1" s="1"/>
  <c r="E206" i="1"/>
  <c r="F206" i="1" s="1"/>
  <c r="E249" i="1"/>
  <c r="F249" i="1" s="1"/>
  <c r="E148" i="1"/>
  <c r="F148" i="1" s="1"/>
  <c r="E180" i="1"/>
  <c r="F180" i="1" s="1"/>
  <c r="E210" i="1"/>
  <c r="F210" i="1" s="1"/>
  <c r="E244" i="1"/>
  <c r="F244" i="1" s="1"/>
  <c r="Z244" i="1" s="1"/>
  <c r="E201" i="1"/>
  <c r="F201" i="1" s="1"/>
  <c r="E233" i="1"/>
  <c r="F233" i="1" s="1"/>
  <c r="Z233" i="1" s="1"/>
  <c r="E197" i="1"/>
  <c r="F197" i="1" s="1"/>
  <c r="Z197" i="1" s="1"/>
  <c r="E229" i="1"/>
  <c r="F229" i="1" s="1"/>
  <c r="Z13" i="1" l="1"/>
  <c r="Z141" i="1"/>
  <c r="Z210" i="1"/>
  <c r="Z212" i="1"/>
  <c r="Z180" i="1"/>
  <c r="Z213" i="1"/>
  <c r="Z169" i="1"/>
  <c r="Z187" i="1"/>
  <c r="Z161" i="1"/>
  <c r="Z86" i="1"/>
  <c r="Z123" i="1"/>
  <c r="Z168" i="1"/>
  <c r="Z127" i="1"/>
  <c r="Z139" i="1"/>
  <c r="Z97" i="1"/>
  <c r="Z122" i="1"/>
  <c r="Z176" i="1"/>
  <c r="Z89" i="1"/>
  <c r="Z228" i="1"/>
  <c r="Z200" i="1"/>
  <c r="Z192" i="1"/>
  <c r="Z229" i="1"/>
  <c r="Z173" i="1"/>
  <c r="Z241" i="1"/>
  <c r="Z166" i="1"/>
  <c r="Z184" i="1"/>
  <c r="Z108" i="1"/>
  <c r="Z217" i="1"/>
  <c r="Z236" i="1"/>
  <c r="Z251" i="1"/>
  <c r="Z206" i="1"/>
  <c r="Z152" i="1"/>
  <c r="Z121" i="1"/>
  <c r="Z209" i="1"/>
  <c r="Z113" i="1"/>
  <c r="Z93" i="1"/>
  <c r="Z149" i="1"/>
  <c r="Z112" i="1"/>
  <c r="Z245" i="1"/>
  <c r="Z201" i="1"/>
  <c r="Z249" i="1"/>
  <c r="Z120" i="1"/>
  <c r="Z246" i="1"/>
  <c r="Z98" i="1"/>
  <c r="Z83" i="1"/>
  <c r="Z148" i="1"/>
  <c r="Z194" i="1"/>
  <c r="Z157" i="1"/>
  <c r="Z101" i="1"/>
  <c r="Z145" i="1"/>
  <c r="Z216" i="1"/>
  <c r="Z144" i="1"/>
  <c r="Z131" i="1"/>
  <c r="Z156" i="1"/>
  <c r="Z126" i="1"/>
  <c r="Z237" i="1"/>
  <c r="Z248" i="1"/>
  <c r="Z102" i="1"/>
  <c r="Z111" i="1"/>
  <c r="Z92" i="1"/>
  <c r="Z109" i="1"/>
  <c r="Z175" i="1"/>
  <c r="Z234" i="1"/>
  <c r="Z88" i="1"/>
  <c r="Z104" i="1"/>
  <c r="Z119" i="1"/>
  <c r="Z177" i="1"/>
  <c r="Z205" i="1"/>
  <c r="Z143" i="1"/>
  <c r="Z114" i="1"/>
  <c r="Z183" i="1"/>
  <c r="Z136" i="1"/>
  <c r="G13" i="1"/>
  <c r="I13" i="1" s="1"/>
  <c r="Z94" i="1"/>
  <c r="Z198" i="1"/>
  <c r="Z224" i="1"/>
  <c r="Z65" i="1"/>
  <c r="Z75" i="1"/>
  <c r="Z76" i="1"/>
  <c r="Z64" i="1"/>
  <c r="Z67" i="1"/>
  <c r="Z69" i="1"/>
  <c r="Z73" i="1"/>
  <c r="Z19" i="1"/>
  <c r="H13" i="1"/>
  <c r="Z41" i="1"/>
  <c r="Z66" i="1"/>
  <c r="F30" i="1"/>
  <c r="Z30" i="1" s="1"/>
  <c r="F44" i="1"/>
  <c r="Z44" i="1" s="1"/>
  <c r="F17" i="1"/>
  <c r="Z17" i="1" s="1"/>
  <c r="D14" i="1"/>
  <c r="Y14" i="1" s="1"/>
  <c r="Y13" i="1"/>
  <c r="Z22" i="1"/>
  <c r="Z24" i="1"/>
  <c r="F50" i="1"/>
  <c r="Z50" i="1" s="1"/>
  <c r="F34" i="1"/>
  <c r="Z34" i="1" s="1"/>
  <c r="Z46" i="1"/>
  <c r="Z23" i="1"/>
  <c r="Z15" i="1"/>
  <c r="Z43" i="1"/>
  <c r="F28" i="1"/>
  <c r="Z28" i="1" s="1"/>
  <c r="F49" i="1"/>
  <c r="Z49" i="1" s="1"/>
  <c r="F60" i="1"/>
  <c r="Z60" i="1" s="1"/>
  <c r="F37" i="1"/>
  <c r="Z37" i="1" s="1"/>
  <c r="F54" i="1"/>
  <c r="Z54" i="1" s="1"/>
  <c r="F56" i="1"/>
  <c r="Z56" i="1" s="1"/>
  <c r="Z26" i="1"/>
  <c r="F29" i="1"/>
  <c r="Z29" i="1" s="1"/>
  <c r="Z70" i="1"/>
  <c r="Z45" i="1"/>
  <c r="Z32" i="1"/>
  <c r="F27" i="1"/>
  <c r="Z27" i="1" s="1"/>
  <c r="F16" i="1"/>
  <c r="Z16" i="1" s="1"/>
  <c r="B15" i="1" l="1"/>
  <c r="G14" i="1"/>
  <c r="I14" i="1" s="1"/>
  <c r="H14" i="1"/>
  <c r="C15" i="1"/>
  <c r="D15" i="1" l="1"/>
  <c r="Y15" i="1" l="1"/>
  <c r="H15" i="1"/>
  <c r="B16" i="1"/>
  <c r="C16" i="1" s="1"/>
  <c r="G15" i="1"/>
  <c r="I15" i="1" s="1"/>
  <c r="D16" i="1" l="1"/>
  <c r="B17" i="1" s="1"/>
  <c r="H16" i="1" l="1"/>
  <c r="G16" i="1"/>
  <c r="I16" i="1" s="1"/>
  <c r="Y16" i="1"/>
  <c r="C17" i="1"/>
  <c r="D17" i="1" l="1"/>
  <c r="G17" i="1" s="1"/>
  <c r="I17" i="1" s="1"/>
  <c r="B18" i="1" l="1"/>
  <c r="C18" i="1" s="1"/>
  <c r="H17" i="1"/>
  <c r="Y17" i="1"/>
  <c r="D18" i="1" l="1"/>
  <c r="Y18" i="1" l="1"/>
  <c r="H18" i="1"/>
  <c r="G18" i="1"/>
  <c r="I18" i="1" s="1"/>
  <c r="B19" i="1"/>
  <c r="C19" i="1" s="1"/>
  <c r="D19" i="1" l="1"/>
  <c r="B20" i="1" s="1"/>
  <c r="H19" i="1" l="1"/>
  <c r="Y19" i="1"/>
  <c r="G19" i="1"/>
  <c r="I19" i="1" s="1"/>
  <c r="C20" i="1"/>
  <c r="D20" i="1" l="1"/>
  <c r="Y20" i="1" s="1"/>
  <c r="H20" i="1" l="1"/>
  <c r="G20" i="1"/>
  <c r="I20" i="1" s="1"/>
  <c r="B21" i="1"/>
  <c r="C21" i="1" s="1"/>
  <c r="D21" i="1" l="1"/>
  <c r="Y21" i="1" s="1"/>
  <c r="H21" i="1" l="1"/>
  <c r="B22" i="1"/>
  <c r="C22" i="1" s="1"/>
  <c r="G21" i="1"/>
  <c r="I21" i="1" s="1"/>
  <c r="D22" i="1" l="1"/>
  <c r="Y22" i="1" s="1"/>
  <c r="H22" i="1" l="1"/>
  <c r="B23" i="1"/>
  <c r="C23" i="1" s="1"/>
  <c r="G22" i="1"/>
  <c r="I22" i="1" s="1"/>
  <c r="D23" i="1" l="1"/>
  <c r="Y23" i="1" s="1"/>
  <c r="H23" i="1" l="1"/>
  <c r="B24" i="1"/>
  <c r="C24" i="1" s="1"/>
  <c r="G23" i="1"/>
  <c r="I23" i="1" s="1"/>
  <c r="D24" i="1" l="1"/>
  <c r="Y24" i="1" s="1"/>
  <c r="H24" i="1" l="1"/>
  <c r="G24" i="1"/>
  <c r="I24" i="1" s="1"/>
  <c r="B25" i="1"/>
  <c r="C25" i="1" s="1"/>
  <c r="D25" i="1" l="1"/>
  <c r="Y25" i="1" s="1"/>
  <c r="B26" i="1" l="1"/>
  <c r="C26" i="1" s="1"/>
  <c r="H25" i="1"/>
  <c r="G25" i="1"/>
  <c r="I25" i="1" s="1"/>
  <c r="D26" i="1" l="1"/>
  <c r="Y26" i="1" s="1"/>
  <c r="H26" i="1" l="1"/>
  <c r="B27" i="1"/>
  <c r="C27" i="1" s="1"/>
  <c r="G26" i="1"/>
  <c r="I26" i="1" s="1"/>
  <c r="D27" i="1" l="1"/>
  <c r="Y27" i="1" s="1"/>
  <c r="H27" i="1" l="1"/>
  <c r="B28" i="1"/>
  <c r="C28" i="1" s="1"/>
  <c r="G27" i="1"/>
  <c r="I27" i="1" s="1"/>
  <c r="D28" i="1" l="1"/>
  <c r="Y28" i="1" s="1"/>
  <c r="H28" i="1" l="1"/>
  <c r="G28" i="1"/>
  <c r="I28" i="1" s="1"/>
  <c r="B29" i="1"/>
  <c r="C29" i="1" s="1"/>
  <c r="D29" i="1" l="1"/>
  <c r="Y29" i="1" s="1"/>
  <c r="H29" i="1" l="1"/>
  <c r="B30" i="1"/>
  <c r="G29" i="1"/>
  <c r="I29" i="1" s="1"/>
  <c r="C30" i="1"/>
  <c r="D30" i="1" l="1"/>
  <c r="Y30" i="1" s="1"/>
  <c r="B31" i="1" l="1"/>
  <c r="C31" i="1" s="1"/>
  <c r="H30" i="1"/>
  <c r="G30" i="1"/>
  <c r="I30" i="1" s="1"/>
  <c r="D31" i="1" l="1"/>
  <c r="Y31" i="1" s="1"/>
  <c r="H31" i="1" l="1"/>
  <c r="G31" i="1"/>
  <c r="I31" i="1" s="1"/>
  <c r="B32" i="1"/>
  <c r="C32" i="1" s="1"/>
  <c r="D32" i="1" l="1"/>
  <c r="Y32" i="1" s="1"/>
  <c r="H32" i="1" l="1"/>
  <c r="G32" i="1"/>
  <c r="I32" i="1" s="1"/>
  <c r="B33" i="1"/>
  <c r="C33" i="1" s="1"/>
  <c r="D33" i="1" l="1"/>
  <c r="Y33" i="1" s="1"/>
  <c r="H33" i="1" l="1"/>
  <c r="B34" i="1"/>
  <c r="C34" i="1" s="1"/>
  <c r="G33" i="1"/>
  <c r="I33" i="1" s="1"/>
  <c r="D34" i="1" l="1"/>
  <c r="Y34" i="1" s="1"/>
  <c r="H34" i="1" l="1"/>
  <c r="B35" i="1"/>
  <c r="C35" i="1" s="1"/>
  <c r="G34" i="1"/>
  <c r="I34" i="1" s="1"/>
  <c r="D35" i="1" l="1"/>
  <c r="Y35" i="1" s="1"/>
  <c r="H35" i="1" l="1"/>
  <c r="B36" i="1"/>
  <c r="C36" i="1" s="1"/>
  <c r="G35" i="1"/>
  <c r="I35" i="1" s="1"/>
  <c r="D36" i="1" l="1"/>
  <c r="Y36" i="1" s="1"/>
  <c r="G36" i="1" l="1"/>
  <c r="I36" i="1" s="1"/>
  <c r="B37" i="1"/>
  <c r="C37" i="1" s="1"/>
  <c r="H36" i="1"/>
  <c r="D37" i="1" l="1"/>
  <c r="Y37" i="1" s="1"/>
  <c r="B38" i="1" l="1"/>
  <c r="C38" i="1" s="1"/>
  <c r="H37" i="1"/>
  <c r="G37" i="1"/>
  <c r="I37" i="1" s="1"/>
  <c r="D38" i="1" l="1"/>
  <c r="Y38" i="1" s="1"/>
  <c r="G38" i="1" l="1"/>
  <c r="I38" i="1" s="1"/>
  <c r="H38" i="1"/>
  <c r="B39" i="1"/>
  <c r="C39" i="1" s="1"/>
  <c r="D39" i="1" l="1"/>
  <c r="Y39" i="1" s="1"/>
  <c r="H39" i="1" l="1"/>
  <c r="B40" i="1"/>
  <c r="G39" i="1"/>
  <c r="I39" i="1" s="1"/>
  <c r="C40" i="1"/>
  <c r="D40" i="1" l="1"/>
  <c r="Y40" i="1" s="1"/>
  <c r="H40" i="1" l="1"/>
  <c r="B41" i="1"/>
  <c r="C41" i="1" s="1"/>
  <c r="G40" i="1"/>
  <c r="I40" i="1" s="1"/>
  <c r="D41" i="1" l="1"/>
  <c r="Y41" i="1" s="1"/>
  <c r="H41" i="1" l="1"/>
  <c r="G41" i="1"/>
  <c r="I41" i="1" s="1"/>
  <c r="B42" i="1"/>
  <c r="C42" i="1" s="1"/>
  <c r="D42" i="1" l="1"/>
  <c r="Y42" i="1" s="1"/>
  <c r="H42" i="1" l="1"/>
  <c r="G42" i="1"/>
  <c r="I42" i="1" s="1"/>
  <c r="B43" i="1"/>
  <c r="C43" i="1" s="1"/>
  <c r="D43" i="1" l="1"/>
  <c r="Y43" i="1" s="1"/>
  <c r="H43" i="1" l="1"/>
  <c r="G43" i="1"/>
  <c r="I43" i="1" s="1"/>
  <c r="B44" i="1"/>
  <c r="C44" i="1" s="1"/>
  <c r="D44" i="1" l="1"/>
  <c r="Y44" i="1" s="1"/>
  <c r="G44" i="1" l="1"/>
  <c r="I44" i="1" s="1"/>
  <c r="H44" i="1"/>
  <c r="B45" i="1"/>
  <c r="C45" i="1" s="1"/>
  <c r="D45" i="1" l="1"/>
  <c r="Y45" i="1" s="1"/>
  <c r="H45" i="1" l="1"/>
  <c r="B46" i="1"/>
  <c r="G45" i="1"/>
  <c r="I45" i="1" s="1"/>
  <c r="C46" i="1"/>
  <c r="D46" i="1" l="1"/>
  <c r="Y46" i="1" s="1"/>
  <c r="H46" i="1" l="1"/>
  <c r="B47" i="1"/>
  <c r="C47" i="1" s="1"/>
  <c r="G46" i="1"/>
  <c r="I46" i="1" s="1"/>
  <c r="D47" i="1" l="1"/>
  <c r="Y47" i="1" s="1"/>
  <c r="H47" i="1" l="1"/>
  <c r="B48" i="1"/>
  <c r="C48" i="1" s="1"/>
  <c r="G47" i="1"/>
  <c r="I47" i="1" s="1"/>
  <c r="D48" i="1" l="1"/>
  <c r="Y48" i="1" s="1"/>
  <c r="H48" i="1" l="1"/>
  <c r="B49" i="1"/>
  <c r="G48" i="1"/>
  <c r="I48" i="1" s="1"/>
  <c r="C49" i="1"/>
  <c r="D49" i="1" l="1"/>
  <c r="Y49" i="1" s="1"/>
  <c r="H49" i="1" l="1"/>
  <c r="B50" i="1"/>
  <c r="C50" i="1" s="1"/>
  <c r="G49" i="1"/>
  <c r="I49" i="1" s="1"/>
  <c r="D50" i="1" l="1"/>
  <c r="Y50" i="1" s="1"/>
  <c r="H50" i="1" l="1"/>
  <c r="G50" i="1"/>
  <c r="I50" i="1" s="1"/>
  <c r="B51" i="1"/>
  <c r="C51" i="1" s="1"/>
  <c r="D51" i="1" l="1"/>
  <c r="Y51" i="1" s="1"/>
  <c r="B52" i="1" l="1"/>
  <c r="C52" i="1" s="1"/>
  <c r="G51" i="1"/>
  <c r="I51" i="1" s="1"/>
  <c r="H51" i="1"/>
  <c r="D52" i="1" l="1"/>
  <c r="B53" i="1" s="1"/>
  <c r="H52" i="1" l="1"/>
  <c r="G52" i="1"/>
  <c r="I52" i="1" s="1"/>
  <c r="Y52" i="1"/>
  <c r="C53" i="1"/>
  <c r="D53" i="1" l="1"/>
  <c r="Y53" i="1" l="1"/>
  <c r="G53" i="1"/>
  <c r="I53" i="1" s="1"/>
  <c r="H53" i="1"/>
  <c r="B54" i="1"/>
  <c r="C54" i="1" s="1"/>
  <c r="D54" i="1" l="1"/>
  <c r="Y54" i="1" l="1"/>
  <c r="H54" i="1"/>
  <c r="G54" i="1"/>
  <c r="I54" i="1" s="1"/>
  <c r="B55" i="1"/>
  <c r="C55" i="1" s="1"/>
  <c r="D55" i="1" l="1"/>
  <c r="Y55" i="1" l="1"/>
  <c r="G55" i="1"/>
  <c r="I55" i="1" s="1"/>
  <c r="B56" i="1"/>
  <c r="C56" i="1" s="1"/>
  <c r="H55" i="1"/>
  <c r="D56" i="1" l="1"/>
  <c r="Y56" i="1" l="1"/>
  <c r="H56" i="1"/>
  <c r="B57" i="1"/>
  <c r="G56" i="1"/>
  <c r="I56" i="1" s="1"/>
  <c r="C57" i="1"/>
  <c r="D57" i="1" l="1"/>
  <c r="H57" i="1" s="1"/>
  <c r="B58" i="1" l="1"/>
  <c r="C58" i="1" s="1"/>
  <c r="G57" i="1"/>
  <c r="I57" i="1" s="1"/>
  <c r="Y57" i="1"/>
  <c r="D58" i="1" l="1"/>
  <c r="Y58" i="1" s="1"/>
  <c r="B59" i="1" l="1"/>
  <c r="C59" i="1" s="1"/>
  <c r="H58" i="1"/>
  <c r="G58" i="1"/>
  <c r="I58" i="1" s="1"/>
  <c r="D59" i="1" l="1"/>
  <c r="Y59" i="1" s="1"/>
  <c r="H59" i="1" l="1"/>
  <c r="G59" i="1"/>
  <c r="I59" i="1" s="1"/>
  <c r="B60" i="1"/>
  <c r="C60" i="1" s="1"/>
  <c r="D60" i="1" l="1"/>
  <c r="Y60" i="1" s="1"/>
  <c r="B61" i="1" l="1"/>
  <c r="C61" i="1" s="1"/>
  <c r="G60" i="1"/>
  <c r="I60" i="1" s="1"/>
  <c r="H60" i="1"/>
  <c r="D61" i="1" l="1"/>
  <c r="Y61" i="1" s="1"/>
  <c r="H61" i="1" l="1"/>
  <c r="B62" i="1"/>
  <c r="C62" i="1" s="1"/>
  <c r="G61" i="1"/>
  <c r="I61" i="1" s="1"/>
  <c r="D62" i="1" l="1"/>
  <c r="Y62" i="1" s="1"/>
  <c r="H62" i="1" l="1"/>
  <c r="G62" i="1"/>
  <c r="I62" i="1" s="1"/>
  <c r="B63" i="1"/>
  <c r="C63" i="1" s="1"/>
  <c r="D63" i="1" s="1"/>
  <c r="Y63" i="1" l="1"/>
  <c r="B64" i="1"/>
  <c r="G63" i="1"/>
  <c r="I63" i="1" s="1"/>
  <c r="H63" i="1"/>
  <c r="C64" i="1" l="1"/>
  <c r="D64" i="1" s="1"/>
  <c r="B65" i="1" l="1"/>
  <c r="G64" i="1"/>
  <c r="I64" i="1" s="1"/>
  <c r="Y64" i="1"/>
  <c r="H64" i="1"/>
  <c r="C65" i="1" l="1"/>
  <c r="D65" i="1" s="1"/>
  <c r="B66" i="1" l="1"/>
  <c r="Y65" i="1"/>
  <c r="G65" i="1"/>
  <c r="I65" i="1" s="1"/>
  <c r="H65" i="1"/>
  <c r="C66" i="1" l="1"/>
  <c r="D66" i="1" s="1"/>
  <c r="B67" i="1" l="1"/>
  <c r="G66" i="1"/>
  <c r="I66" i="1" s="1"/>
  <c r="Y66" i="1"/>
  <c r="H66" i="1"/>
  <c r="C67" i="1" l="1"/>
  <c r="D67" i="1" s="1"/>
  <c r="G67" i="1" l="1"/>
  <c r="I67" i="1" s="1"/>
  <c r="B68" i="1"/>
  <c r="Y67" i="1"/>
  <c r="H67" i="1"/>
  <c r="C68" i="1" l="1"/>
  <c r="D68" i="1" s="1"/>
  <c r="Y68" i="1" l="1"/>
  <c r="H68" i="1"/>
  <c r="B69" i="1"/>
  <c r="G68" i="1"/>
  <c r="I68" i="1" s="1"/>
  <c r="C69" i="1" l="1"/>
  <c r="D69" i="1" s="1"/>
  <c r="B70" i="1" l="1"/>
  <c r="G69" i="1"/>
  <c r="I69" i="1" s="1"/>
  <c r="Y69" i="1"/>
  <c r="H69" i="1"/>
  <c r="C70" i="1" l="1"/>
  <c r="D70" i="1" s="1"/>
  <c r="B71" i="1" l="1"/>
  <c r="G70" i="1"/>
  <c r="I70" i="1" s="1"/>
  <c r="Y70" i="1"/>
  <c r="H70" i="1"/>
  <c r="C71" i="1" l="1"/>
  <c r="D71" i="1" s="1"/>
  <c r="G71" i="1" l="1"/>
  <c r="I71" i="1" s="1"/>
  <c r="H71" i="1"/>
  <c r="B72" i="1"/>
  <c r="Y71" i="1"/>
  <c r="C72" i="1" l="1"/>
  <c r="D72" i="1" s="1"/>
  <c r="B73" i="1" l="1"/>
  <c r="G72" i="1"/>
  <c r="I72" i="1" s="1"/>
  <c r="Y72" i="1"/>
  <c r="H72" i="1"/>
  <c r="C73" i="1" l="1"/>
  <c r="D73" i="1" s="1"/>
  <c r="B74" i="1" l="1"/>
  <c r="Y73" i="1"/>
  <c r="G73" i="1"/>
  <c r="I73" i="1" s="1"/>
  <c r="H73" i="1"/>
  <c r="C74" i="1" l="1"/>
  <c r="D74" i="1" s="1"/>
  <c r="H74" i="1" l="1"/>
  <c r="G74" i="1"/>
  <c r="I74" i="1" s="1"/>
  <c r="Y74" i="1"/>
  <c r="B75" i="1"/>
  <c r="C75" i="1" l="1"/>
  <c r="D75" i="1" s="1"/>
  <c r="G75" i="1" l="1"/>
  <c r="I75" i="1" s="1"/>
  <c r="Y75" i="1"/>
  <c r="B76" i="1"/>
  <c r="H75" i="1"/>
  <c r="C76" i="1" l="1"/>
  <c r="D76" i="1" s="1"/>
  <c r="B77" i="1" s="1"/>
  <c r="C77" i="1" l="1"/>
  <c r="D77" i="1" s="1"/>
  <c r="Y76" i="1"/>
  <c r="G76" i="1"/>
  <c r="I76" i="1" s="1"/>
  <c r="H76" i="1"/>
  <c r="Y77" i="1" l="1"/>
  <c r="B78" i="1"/>
  <c r="H77" i="1"/>
  <c r="G77" i="1"/>
  <c r="I77" i="1" s="1"/>
  <c r="C78" i="1" l="1"/>
  <c r="D78" i="1" s="1"/>
  <c r="Y78" i="1" l="1"/>
  <c r="B79" i="1"/>
  <c r="H78" i="1"/>
  <c r="G78" i="1"/>
  <c r="I78" i="1" s="1"/>
  <c r="C79" i="1" l="1"/>
  <c r="D79" i="1" s="1"/>
  <c r="Y79" i="1" l="1"/>
  <c r="H79" i="1"/>
  <c r="B80" i="1"/>
  <c r="G79" i="1"/>
  <c r="I79" i="1" s="1"/>
  <c r="C80" i="1" l="1"/>
  <c r="D80" i="1" s="1"/>
  <c r="G80" i="1" l="1"/>
  <c r="I80" i="1" s="1"/>
  <c r="B81" i="1"/>
  <c r="Y80" i="1"/>
  <c r="H80" i="1"/>
  <c r="C81" i="1" l="1"/>
  <c r="D81" i="1" s="1"/>
  <c r="Y81" i="1" l="1"/>
  <c r="B82" i="1"/>
  <c r="G81" i="1"/>
  <c r="I81" i="1" s="1"/>
  <c r="H81" i="1"/>
  <c r="C82" i="1" l="1"/>
  <c r="D82" i="1" s="1"/>
  <c r="G82" i="1" l="1"/>
  <c r="I82" i="1" s="1"/>
  <c r="Y82" i="1"/>
  <c r="B83" i="1"/>
  <c r="H82" i="1"/>
  <c r="C83" i="1" l="1"/>
  <c r="D83" i="1" s="1"/>
  <c r="Y83" i="1" l="1"/>
  <c r="B84" i="1"/>
  <c r="G83" i="1"/>
  <c r="I83" i="1" s="1"/>
  <c r="H83" i="1"/>
  <c r="C84" i="1" l="1"/>
  <c r="D84" i="1" s="1"/>
  <c r="Y84" i="1" l="1"/>
  <c r="H84" i="1"/>
  <c r="B85" i="1"/>
  <c r="G84" i="1"/>
  <c r="I84" i="1" s="1"/>
  <c r="C85" i="1" l="1"/>
  <c r="D85" i="1" s="1"/>
  <c r="Y85" i="1" l="1"/>
  <c r="G85" i="1"/>
  <c r="I85" i="1" s="1"/>
  <c r="H85" i="1"/>
  <c r="B86" i="1"/>
  <c r="C86" i="1" l="1"/>
  <c r="D86" i="1" s="1"/>
  <c r="B87" i="1" l="1"/>
  <c r="Y86" i="1"/>
  <c r="G86" i="1"/>
  <c r="I86" i="1" s="1"/>
  <c r="H86" i="1"/>
  <c r="C87" i="1" l="1"/>
  <c r="D87" i="1" s="1"/>
  <c r="G87" i="1" l="1"/>
  <c r="I87" i="1" s="1"/>
  <c r="Y87" i="1"/>
  <c r="B88" i="1"/>
  <c r="H87" i="1"/>
  <c r="C88" i="1" l="1"/>
  <c r="D88" i="1" s="1"/>
  <c r="G88" i="1" l="1"/>
  <c r="I88" i="1" s="1"/>
  <c r="Y88" i="1"/>
  <c r="B89" i="1"/>
  <c r="H88" i="1"/>
  <c r="C89" i="1" l="1"/>
  <c r="D89" i="1" s="1"/>
  <c r="G89" i="1" l="1"/>
  <c r="I89" i="1" s="1"/>
  <c r="B90" i="1"/>
  <c r="Y89" i="1"/>
  <c r="H89" i="1"/>
  <c r="C90" i="1" l="1"/>
  <c r="D90" i="1" s="1"/>
  <c r="Y90" i="1" l="1"/>
  <c r="G90" i="1"/>
  <c r="I90" i="1" s="1"/>
  <c r="B91" i="1"/>
  <c r="H90" i="1"/>
  <c r="C91" i="1" l="1"/>
  <c r="D91" i="1" s="1"/>
  <c r="Y91" i="1" l="1"/>
  <c r="B92" i="1"/>
  <c r="G91" i="1"/>
  <c r="I91" i="1" s="1"/>
  <c r="H91" i="1"/>
  <c r="C92" i="1" l="1"/>
  <c r="D92" i="1" s="1"/>
  <c r="Y92" i="1" l="1"/>
  <c r="G92" i="1"/>
  <c r="I92" i="1" s="1"/>
  <c r="B93" i="1"/>
  <c r="H92" i="1"/>
  <c r="C93" i="1" l="1"/>
  <c r="D93" i="1" s="1"/>
  <c r="B94" i="1" l="1"/>
  <c r="G93" i="1"/>
  <c r="I93" i="1" s="1"/>
  <c r="Y93" i="1"/>
  <c r="H93" i="1"/>
  <c r="C94" i="1" l="1"/>
  <c r="D94" i="1" s="1"/>
  <c r="G94" i="1" l="1"/>
  <c r="I94" i="1" s="1"/>
  <c r="Y94" i="1"/>
  <c r="B95" i="1"/>
  <c r="H94" i="1"/>
  <c r="C95" i="1" l="1"/>
  <c r="D95" i="1" s="1"/>
  <c r="G95" i="1" l="1"/>
  <c r="I95" i="1" s="1"/>
  <c r="Y95" i="1"/>
  <c r="B96" i="1"/>
  <c r="H95" i="1"/>
  <c r="C96" i="1" l="1"/>
  <c r="D96" i="1" s="1"/>
  <c r="Y96" i="1" l="1"/>
  <c r="H96" i="1"/>
  <c r="G96" i="1"/>
  <c r="I96" i="1" s="1"/>
  <c r="B97" i="1"/>
  <c r="C97" i="1" l="1"/>
  <c r="D97" i="1" s="1"/>
  <c r="Y97" i="1" l="1"/>
  <c r="B98" i="1"/>
  <c r="G97" i="1"/>
  <c r="I97" i="1" s="1"/>
  <c r="H97" i="1"/>
  <c r="C98" i="1" l="1"/>
  <c r="D98" i="1" s="1"/>
  <c r="G98" i="1" l="1"/>
  <c r="I98" i="1" s="1"/>
  <c r="Y98" i="1"/>
  <c r="B99" i="1"/>
  <c r="H98" i="1"/>
  <c r="C99" i="1" l="1"/>
  <c r="D99" i="1" s="1"/>
  <c r="B100" i="1" l="1"/>
  <c r="Y99" i="1"/>
  <c r="G99" i="1"/>
  <c r="I99" i="1" s="1"/>
  <c r="H99" i="1"/>
  <c r="C100" i="1" l="1"/>
  <c r="D100" i="1" s="1"/>
  <c r="H100" i="1" l="1"/>
  <c r="G100" i="1"/>
  <c r="I100" i="1" s="1"/>
  <c r="B101" i="1"/>
  <c r="Y100" i="1"/>
  <c r="C101" i="1" l="1"/>
  <c r="D101" i="1" s="1"/>
  <c r="Y101" i="1" l="1"/>
  <c r="G101" i="1"/>
  <c r="I101" i="1" s="1"/>
  <c r="B102" i="1"/>
  <c r="H101" i="1"/>
  <c r="C102" i="1" l="1"/>
  <c r="D102" i="1" s="1"/>
  <c r="Y102" i="1" l="1"/>
  <c r="B103" i="1"/>
  <c r="G102" i="1"/>
  <c r="I102" i="1" s="1"/>
  <c r="H102" i="1"/>
  <c r="C103" i="1" l="1"/>
  <c r="D103" i="1" s="1"/>
  <c r="G103" i="1" l="1"/>
  <c r="I103" i="1" s="1"/>
  <c r="B104" i="1"/>
  <c r="Y103" i="1"/>
  <c r="H103" i="1"/>
  <c r="C104" i="1" l="1"/>
  <c r="D104" i="1" s="1"/>
  <c r="G104" i="1" l="1"/>
  <c r="I104" i="1" s="1"/>
  <c r="Y104" i="1"/>
  <c r="B105" i="1"/>
  <c r="H104" i="1"/>
  <c r="C105" i="1" l="1"/>
  <c r="D105" i="1" s="1"/>
  <c r="Y105" i="1" l="1"/>
  <c r="H105" i="1"/>
  <c r="G105" i="1"/>
  <c r="I105" i="1" s="1"/>
  <c r="B106" i="1"/>
  <c r="C106" i="1" l="1"/>
  <c r="D106" i="1" s="1"/>
  <c r="Y106" i="1" l="1"/>
  <c r="B107" i="1"/>
  <c r="H106" i="1"/>
  <c r="G106" i="1"/>
  <c r="I106" i="1" s="1"/>
  <c r="C107" i="1" l="1"/>
  <c r="D107" i="1" s="1"/>
  <c r="Y107" i="1" l="1"/>
  <c r="G107" i="1"/>
  <c r="I107" i="1" s="1"/>
  <c r="B108" i="1"/>
  <c r="H107" i="1"/>
  <c r="C108" i="1" l="1"/>
  <c r="D108" i="1" s="1"/>
  <c r="Y108" i="1" l="1"/>
  <c r="B109" i="1"/>
  <c r="G108" i="1"/>
  <c r="I108" i="1" s="1"/>
  <c r="H108" i="1"/>
  <c r="C109" i="1" l="1"/>
  <c r="D109" i="1" s="1"/>
  <c r="Y109" i="1" l="1"/>
  <c r="B110" i="1"/>
  <c r="G109" i="1"/>
  <c r="I109" i="1" s="1"/>
  <c r="H109" i="1"/>
  <c r="C110" i="1" l="1"/>
  <c r="D110" i="1" s="1"/>
  <c r="Y110" i="1" l="1"/>
  <c r="H110" i="1"/>
  <c r="B111" i="1"/>
  <c r="G110" i="1"/>
  <c r="I110" i="1" s="1"/>
  <c r="C111" i="1" l="1"/>
  <c r="D111" i="1" s="1"/>
  <c r="Y111" i="1" l="1"/>
  <c r="B112" i="1"/>
  <c r="G111" i="1"/>
  <c r="I111" i="1" s="1"/>
  <c r="H111" i="1"/>
  <c r="C112" i="1" l="1"/>
  <c r="D112" i="1" s="1"/>
  <c r="G112" i="1" l="1"/>
  <c r="I112" i="1" s="1"/>
  <c r="Y112" i="1"/>
  <c r="B113" i="1"/>
  <c r="H112" i="1"/>
  <c r="C113" i="1" l="1"/>
  <c r="D113" i="1" s="1"/>
  <c r="Y113" i="1" l="1"/>
  <c r="G113" i="1"/>
  <c r="I113" i="1" s="1"/>
  <c r="B114" i="1"/>
  <c r="H113" i="1"/>
  <c r="C114" i="1" l="1"/>
  <c r="D114" i="1" s="1"/>
  <c r="G114" i="1" l="1"/>
  <c r="I114" i="1" s="1"/>
  <c r="B115" i="1"/>
  <c r="Y114" i="1"/>
  <c r="H114" i="1"/>
  <c r="C115" i="1" l="1"/>
  <c r="D115" i="1" s="1"/>
  <c r="H115" i="1" l="1"/>
  <c r="Y115" i="1"/>
  <c r="G115" i="1"/>
  <c r="I115" i="1" s="1"/>
  <c r="B116" i="1"/>
  <c r="C116" i="1" l="1"/>
  <c r="D116" i="1" s="1"/>
  <c r="G116" i="1" l="1"/>
  <c r="I116" i="1" s="1"/>
  <c r="Y116" i="1"/>
  <c r="B117" i="1"/>
  <c r="H116" i="1"/>
  <c r="C117" i="1" l="1"/>
  <c r="D117" i="1" s="1"/>
  <c r="Y117" i="1" l="1"/>
  <c r="B118" i="1"/>
  <c r="G117" i="1"/>
  <c r="I117" i="1" s="1"/>
  <c r="H117" i="1"/>
  <c r="C118" i="1" l="1"/>
  <c r="D118" i="1" s="1"/>
  <c r="Y118" i="1" l="1"/>
  <c r="G118" i="1"/>
  <c r="I118" i="1" s="1"/>
  <c r="H118" i="1"/>
  <c r="B119" i="1"/>
  <c r="C119" i="1" l="1"/>
  <c r="D119" i="1" s="1"/>
  <c r="B120" i="1" l="1"/>
  <c r="G119" i="1"/>
  <c r="I119" i="1" s="1"/>
  <c r="Y119" i="1"/>
  <c r="H119" i="1"/>
  <c r="C120" i="1" l="1"/>
  <c r="D120" i="1" s="1"/>
  <c r="G120" i="1" l="1"/>
  <c r="I120" i="1" s="1"/>
  <c r="Y120" i="1"/>
  <c r="B121" i="1"/>
  <c r="H120" i="1"/>
  <c r="C121" i="1" l="1"/>
  <c r="D121" i="1" s="1"/>
  <c r="Y121" i="1" l="1"/>
  <c r="G121" i="1"/>
  <c r="I121" i="1" s="1"/>
  <c r="B122" i="1"/>
  <c r="H121" i="1"/>
  <c r="C122" i="1" l="1"/>
  <c r="D122" i="1" s="1"/>
  <c r="Y122" i="1" l="1"/>
  <c r="B123" i="1"/>
  <c r="G122" i="1"/>
  <c r="I122" i="1" s="1"/>
  <c r="H122" i="1"/>
  <c r="C123" i="1" l="1"/>
  <c r="D123" i="1" s="1"/>
  <c r="Y123" i="1" l="1"/>
  <c r="B124" i="1"/>
  <c r="G123" i="1"/>
  <c r="I123" i="1" s="1"/>
  <c r="H123" i="1"/>
  <c r="C124" i="1" l="1"/>
  <c r="D124" i="1" s="1"/>
  <c r="Y124" i="1" l="1"/>
  <c r="G124" i="1"/>
  <c r="I124" i="1" s="1"/>
  <c r="B125" i="1"/>
  <c r="H124" i="1"/>
  <c r="C125" i="1" l="1"/>
  <c r="D125" i="1" s="1"/>
  <c r="B126" i="1" l="1"/>
  <c r="Y125" i="1"/>
  <c r="H125" i="1"/>
  <c r="G125" i="1"/>
  <c r="I125" i="1" s="1"/>
  <c r="C126" i="1" l="1"/>
  <c r="D126" i="1" s="1"/>
  <c r="G126" i="1" l="1"/>
  <c r="I126" i="1" s="1"/>
  <c r="Y126" i="1"/>
  <c r="B127" i="1"/>
  <c r="H126" i="1"/>
  <c r="C127" i="1" l="1"/>
  <c r="D127" i="1" s="1"/>
  <c r="Y127" i="1" l="1"/>
  <c r="B128" i="1"/>
  <c r="G127" i="1"/>
  <c r="I127" i="1" s="1"/>
  <c r="H127" i="1"/>
  <c r="C128" i="1" l="1"/>
  <c r="D128" i="1" s="1"/>
  <c r="Y128" i="1" l="1"/>
  <c r="B129" i="1"/>
  <c r="H128" i="1"/>
  <c r="G128" i="1"/>
  <c r="I128" i="1" s="1"/>
  <c r="C129" i="1" l="1"/>
  <c r="D129" i="1" s="1"/>
  <c r="Y129" i="1" l="1"/>
  <c r="B130" i="1"/>
  <c r="G129" i="1"/>
  <c r="I129" i="1" s="1"/>
  <c r="H129" i="1"/>
  <c r="C130" i="1" l="1"/>
  <c r="D130" i="1" s="1"/>
  <c r="Y130" i="1" l="1"/>
  <c r="B131" i="1"/>
  <c r="G130" i="1"/>
  <c r="I130" i="1" s="1"/>
  <c r="H130" i="1"/>
  <c r="C131" i="1" l="1"/>
  <c r="D131" i="1" s="1"/>
  <c r="Y131" i="1" l="1"/>
  <c r="G131" i="1"/>
  <c r="I131" i="1" s="1"/>
  <c r="B132" i="1"/>
  <c r="H131" i="1"/>
  <c r="C132" i="1" l="1"/>
  <c r="D132" i="1" s="1"/>
  <c r="Y132" i="1" l="1"/>
  <c r="B133" i="1"/>
  <c r="G132" i="1"/>
  <c r="I132" i="1" s="1"/>
  <c r="H132" i="1"/>
  <c r="C133" i="1" l="1"/>
  <c r="D133" i="1" s="1"/>
  <c r="Y133" i="1" l="1"/>
  <c r="B134" i="1"/>
  <c r="G133" i="1"/>
  <c r="I133" i="1" s="1"/>
  <c r="H133" i="1"/>
  <c r="C134" i="1" l="1"/>
  <c r="D134" i="1" s="1"/>
  <c r="G134" i="1" l="1"/>
  <c r="I134" i="1" s="1"/>
  <c r="Y134" i="1"/>
  <c r="B135" i="1"/>
  <c r="H134" i="1"/>
  <c r="C135" i="1" l="1"/>
  <c r="D135" i="1" s="1"/>
  <c r="G135" i="1" l="1"/>
  <c r="I135" i="1" s="1"/>
  <c r="H135" i="1"/>
  <c r="B136" i="1"/>
  <c r="Y135" i="1"/>
  <c r="C136" i="1" l="1"/>
  <c r="D136" i="1" s="1"/>
  <c r="G136" i="1" l="1"/>
  <c r="I136" i="1" s="1"/>
  <c r="Y136" i="1"/>
  <c r="B137" i="1"/>
  <c r="H136" i="1"/>
  <c r="C137" i="1" l="1"/>
  <c r="D137" i="1" s="1"/>
  <c r="B138" i="1" l="1"/>
  <c r="H137" i="1"/>
  <c r="Y137" i="1"/>
  <c r="G137" i="1"/>
  <c r="I137" i="1" s="1"/>
  <c r="C138" i="1" l="1"/>
  <c r="D138" i="1" s="1"/>
  <c r="Y138" i="1" l="1"/>
  <c r="B139" i="1"/>
  <c r="G138" i="1"/>
  <c r="I138" i="1" s="1"/>
  <c r="H138" i="1"/>
  <c r="C139" i="1" l="1"/>
  <c r="D139" i="1" s="1"/>
  <c r="Y139" i="1" l="1"/>
  <c r="B140" i="1"/>
  <c r="G139" i="1"/>
  <c r="I139" i="1" s="1"/>
  <c r="H139" i="1"/>
  <c r="C140" i="1" l="1"/>
  <c r="D140" i="1" s="1"/>
  <c r="Y140" i="1" l="1"/>
  <c r="B141" i="1"/>
  <c r="G140" i="1"/>
  <c r="I140" i="1" s="1"/>
  <c r="H140" i="1"/>
  <c r="C141" i="1" l="1"/>
  <c r="D141" i="1" s="1"/>
  <c r="B142" i="1" l="1"/>
  <c r="Y141" i="1"/>
  <c r="G141" i="1"/>
  <c r="I141" i="1" s="1"/>
  <c r="H141" i="1"/>
  <c r="C142" i="1" l="1"/>
  <c r="D142" i="1"/>
  <c r="G142" i="1" l="1"/>
  <c r="I142" i="1" s="1"/>
  <c r="Y142" i="1"/>
  <c r="B143" i="1"/>
  <c r="H142" i="1"/>
  <c r="C143" i="1" l="1"/>
  <c r="D143" i="1" s="1"/>
  <c r="Y143" i="1" l="1"/>
  <c r="G143" i="1"/>
  <c r="I143" i="1" s="1"/>
  <c r="B144" i="1"/>
  <c r="H143" i="1"/>
  <c r="C144" i="1" l="1"/>
  <c r="D144" i="1" s="1"/>
  <c r="Y144" i="1" l="1"/>
  <c r="G144" i="1"/>
  <c r="I144" i="1" s="1"/>
  <c r="B145" i="1"/>
  <c r="H144" i="1"/>
  <c r="C145" i="1" l="1"/>
  <c r="D145" i="1" s="1"/>
  <c r="B146" i="1" l="1"/>
  <c r="Y145" i="1"/>
  <c r="G145" i="1"/>
  <c r="I145" i="1" s="1"/>
  <c r="H145" i="1"/>
  <c r="C146" i="1" l="1"/>
  <c r="D146" i="1" s="1"/>
  <c r="Y146" i="1" l="1"/>
  <c r="G146" i="1"/>
  <c r="I146" i="1" s="1"/>
  <c r="B147" i="1"/>
  <c r="H146" i="1"/>
  <c r="C147" i="1" l="1"/>
  <c r="D147" i="1" s="1"/>
  <c r="B148" i="1" l="1"/>
  <c r="Y147" i="1"/>
  <c r="G147" i="1"/>
  <c r="I147" i="1" s="1"/>
  <c r="H147" i="1"/>
  <c r="C148" i="1" l="1"/>
  <c r="D148" i="1" s="1"/>
  <c r="Y148" i="1" l="1"/>
  <c r="G148" i="1"/>
  <c r="I148" i="1" s="1"/>
  <c r="B149" i="1"/>
  <c r="H148" i="1"/>
  <c r="C149" i="1" l="1"/>
  <c r="D149" i="1" s="1"/>
  <c r="B150" i="1" l="1"/>
  <c r="Y149" i="1"/>
  <c r="G149" i="1"/>
  <c r="I149" i="1" s="1"/>
  <c r="H149" i="1"/>
  <c r="C150" i="1" l="1"/>
  <c r="D150" i="1" s="1"/>
  <c r="B151" i="1" l="1"/>
  <c r="G150" i="1"/>
  <c r="I150" i="1" s="1"/>
  <c r="Y150" i="1"/>
  <c r="H150" i="1"/>
  <c r="C151" i="1" l="1"/>
  <c r="D151" i="1" s="1"/>
  <c r="B152" i="1" l="1"/>
  <c r="G151" i="1"/>
  <c r="I151" i="1" s="1"/>
  <c r="Y151" i="1"/>
  <c r="H151" i="1"/>
  <c r="C152" i="1" l="1"/>
  <c r="D152" i="1" s="1"/>
  <c r="Y152" i="1" l="1"/>
  <c r="B153" i="1"/>
  <c r="G152" i="1"/>
  <c r="I152" i="1" s="1"/>
  <c r="H152" i="1"/>
  <c r="C153" i="1" l="1"/>
  <c r="D153" i="1" s="1"/>
  <c r="Y153" i="1" l="1"/>
  <c r="G153" i="1"/>
  <c r="I153" i="1" s="1"/>
  <c r="B154" i="1"/>
  <c r="H153" i="1"/>
  <c r="C154" i="1" l="1"/>
  <c r="D154" i="1" s="1"/>
  <c r="Y154" i="1" l="1"/>
  <c r="G154" i="1"/>
  <c r="I154" i="1" s="1"/>
  <c r="B155" i="1"/>
  <c r="H154" i="1"/>
  <c r="C155" i="1" l="1"/>
  <c r="D155" i="1" s="1"/>
  <c r="Y155" i="1" l="1"/>
  <c r="B156" i="1"/>
  <c r="G155" i="1"/>
  <c r="I155" i="1" s="1"/>
  <c r="H155" i="1"/>
  <c r="C156" i="1" l="1"/>
  <c r="D156" i="1" s="1"/>
  <c r="Y156" i="1" l="1"/>
  <c r="G156" i="1"/>
  <c r="I156" i="1" s="1"/>
  <c r="B157" i="1"/>
  <c r="H156" i="1"/>
  <c r="C157" i="1" l="1"/>
  <c r="D157" i="1" s="1"/>
  <c r="B158" i="1" l="1"/>
  <c r="Y157" i="1"/>
  <c r="G157" i="1"/>
  <c r="I157" i="1" s="1"/>
  <c r="H157" i="1"/>
  <c r="C158" i="1" l="1"/>
  <c r="D158" i="1" s="1"/>
  <c r="G158" i="1" l="1"/>
  <c r="I158" i="1" s="1"/>
  <c r="B159" i="1"/>
  <c r="Y158" i="1"/>
  <c r="H158" i="1"/>
  <c r="C159" i="1" l="1"/>
  <c r="D159" i="1" s="1"/>
  <c r="Y159" i="1" l="1"/>
  <c r="G159" i="1"/>
  <c r="I159" i="1" s="1"/>
  <c r="B160" i="1"/>
  <c r="H159" i="1"/>
  <c r="C160" i="1" l="1"/>
  <c r="D160" i="1" s="1"/>
  <c r="Y160" i="1" l="1"/>
  <c r="G160" i="1"/>
  <c r="I160" i="1" s="1"/>
  <c r="B161" i="1"/>
  <c r="H160" i="1"/>
  <c r="C161" i="1" l="1"/>
  <c r="D161" i="1" s="1"/>
  <c r="B162" i="1" l="1"/>
  <c r="G161" i="1"/>
  <c r="I161" i="1" s="1"/>
  <c r="Y161" i="1"/>
  <c r="H161" i="1"/>
  <c r="C162" i="1" l="1"/>
  <c r="D162" i="1" s="1"/>
  <c r="Y162" i="1" l="1"/>
  <c r="B163" i="1"/>
  <c r="G162" i="1"/>
  <c r="I162" i="1" s="1"/>
  <c r="H162" i="1"/>
  <c r="C163" i="1" l="1"/>
  <c r="D163" i="1" s="1"/>
  <c r="Y163" i="1" l="1"/>
  <c r="G163" i="1"/>
  <c r="I163" i="1" s="1"/>
  <c r="H163" i="1"/>
  <c r="B164" i="1"/>
  <c r="C164" i="1" l="1"/>
  <c r="D164" i="1" s="1"/>
  <c r="Y164" i="1" l="1"/>
  <c r="B165" i="1"/>
  <c r="G164" i="1"/>
  <c r="I164" i="1" s="1"/>
  <c r="H164" i="1"/>
  <c r="C165" i="1" l="1"/>
  <c r="D165" i="1" s="1"/>
  <c r="B166" i="1" l="1"/>
  <c r="Y165" i="1"/>
  <c r="G165" i="1"/>
  <c r="I165" i="1" s="1"/>
  <c r="H165" i="1"/>
  <c r="C166" i="1" l="1"/>
  <c r="D166" i="1" s="1"/>
  <c r="G166" i="1" l="1"/>
  <c r="I166" i="1" s="1"/>
  <c r="Y166" i="1"/>
  <c r="B167" i="1"/>
  <c r="H166" i="1"/>
  <c r="C167" i="1" l="1"/>
  <c r="D167" i="1" s="1"/>
  <c r="Y167" i="1" l="1"/>
  <c r="B168" i="1"/>
  <c r="H167" i="1"/>
  <c r="G167" i="1"/>
  <c r="I167" i="1" s="1"/>
  <c r="C168" i="1" l="1"/>
  <c r="D168" i="1" s="1"/>
  <c r="G168" i="1" l="1"/>
  <c r="I168" i="1" s="1"/>
  <c r="B169" i="1"/>
  <c r="Y168" i="1"/>
  <c r="H168" i="1"/>
  <c r="C169" i="1" l="1"/>
  <c r="D169" i="1" s="1"/>
  <c r="B170" i="1" l="1"/>
  <c r="Y169" i="1"/>
  <c r="G169" i="1"/>
  <c r="I169" i="1" s="1"/>
  <c r="H169" i="1"/>
  <c r="C170" i="1" l="1"/>
  <c r="D170" i="1" s="1"/>
  <c r="Y170" i="1" l="1"/>
  <c r="B171" i="1"/>
  <c r="G170" i="1"/>
  <c r="I170" i="1" s="1"/>
  <c r="H170" i="1"/>
  <c r="C171" i="1" l="1"/>
  <c r="D171" i="1" s="1"/>
  <c r="Y171" i="1" l="1"/>
  <c r="G171" i="1"/>
  <c r="I171" i="1" s="1"/>
  <c r="B172" i="1"/>
  <c r="H171" i="1"/>
  <c r="C172" i="1" l="1"/>
  <c r="D172" i="1" s="1"/>
  <c r="G172" i="1" l="1"/>
  <c r="I172" i="1" s="1"/>
  <c r="Y172" i="1"/>
  <c r="H172" i="1"/>
  <c r="B173" i="1"/>
  <c r="C173" i="1" l="1"/>
  <c r="D173" i="1" s="1"/>
  <c r="B174" i="1" l="1"/>
  <c r="Y173" i="1"/>
  <c r="G173" i="1"/>
  <c r="I173" i="1" s="1"/>
  <c r="H173" i="1"/>
  <c r="C174" i="1" l="1"/>
  <c r="D174" i="1" s="1"/>
  <c r="G174" i="1" l="1"/>
  <c r="I174" i="1" s="1"/>
  <c r="B175" i="1"/>
  <c r="Y174" i="1"/>
  <c r="H174" i="1"/>
  <c r="C175" i="1" l="1"/>
  <c r="D175" i="1" s="1"/>
  <c r="B176" i="1" l="1"/>
  <c r="G175" i="1"/>
  <c r="I175" i="1" s="1"/>
  <c r="Y175" i="1"/>
  <c r="H175" i="1"/>
  <c r="C176" i="1" l="1"/>
  <c r="D176" i="1" s="1"/>
  <c r="G176" i="1" l="1"/>
  <c r="I176" i="1" s="1"/>
  <c r="Y176" i="1"/>
  <c r="B177" i="1"/>
  <c r="H176" i="1"/>
  <c r="C177" i="1" l="1"/>
  <c r="D177" i="1" s="1"/>
  <c r="G177" i="1" l="1"/>
  <c r="I177" i="1" s="1"/>
  <c r="Y177" i="1"/>
  <c r="B178" i="1"/>
  <c r="H177" i="1"/>
  <c r="C178" i="1" l="1"/>
  <c r="D178" i="1" s="1"/>
  <c r="G178" i="1" l="1"/>
  <c r="I178" i="1" s="1"/>
  <c r="Y178" i="1"/>
  <c r="B179" i="1"/>
  <c r="H178" i="1"/>
  <c r="C179" i="1" l="1"/>
  <c r="D179" i="1" s="1"/>
  <c r="Y179" i="1" l="1"/>
  <c r="H179" i="1"/>
  <c r="B180" i="1"/>
  <c r="G179" i="1"/>
  <c r="I179" i="1" s="1"/>
  <c r="C180" i="1" l="1"/>
  <c r="D180" i="1" s="1"/>
  <c r="G180" i="1" l="1"/>
  <c r="I180" i="1" s="1"/>
  <c r="Y180" i="1"/>
  <c r="B181" i="1"/>
  <c r="H180" i="1"/>
  <c r="C181" i="1" l="1"/>
  <c r="D181" i="1" s="1"/>
  <c r="B182" i="1" l="1"/>
  <c r="Y181" i="1"/>
  <c r="G181" i="1"/>
  <c r="I181" i="1" s="1"/>
  <c r="H181" i="1"/>
  <c r="C182" i="1" l="1"/>
  <c r="D182" i="1" s="1"/>
  <c r="G182" i="1" l="1"/>
  <c r="I182" i="1" s="1"/>
  <c r="H182" i="1"/>
  <c r="Y182" i="1"/>
  <c r="B183" i="1"/>
  <c r="C183" i="1" l="1"/>
  <c r="D183" i="1" s="1"/>
  <c r="Y183" i="1" l="1"/>
  <c r="B184" i="1"/>
  <c r="G183" i="1"/>
  <c r="I183" i="1" s="1"/>
  <c r="H183" i="1"/>
  <c r="C184" i="1" l="1"/>
  <c r="D184" i="1" s="1"/>
  <c r="G184" i="1" l="1"/>
  <c r="I184" i="1" s="1"/>
  <c r="B185" i="1"/>
  <c r="Y184" i="1"/>
  <c r="H184" i="1"/>
  <c r="C185" i="1" l="1"/>
  <c r="D185" i="1" s="1"/>
  <c r="G185" i="1" l="1"/>
  <c r="I185" i="1" s="1"/>
  <c r="Y185" i="1"/>
  <c r="B186" i="1"/>
  <c r="H185" i="1"/>
  <c r="C186" i="1" l="1"/>
  <c r="D186" i="1" s="1"/>
  <c r="Y186" i="1" l="1"/>
  <c r="G186" i="1"/>
  <c r="I186" i="1" s="1"/>
  <c r="B187" i="1"/>
  <c r="H186" i="1"/>
  <c r="C187" i="1" l="1"/>
  <c r="D187" i="1" s="1"/>
  <c r="Y187" i="1" l="1"/>
  <c r="G187" i="1"/>
  <c r="I187" i="1" s="1"/>
  <c r="B188" i="1"/>
  <c r="H187" i="1"/>
  <c r="C188" i="1" l="1"/>
  <c r="D188" i="1" s="1"/>
  <c r="B189" i="1" l="1"/>
  <c r="Y188" i="1"/>
  <c r="H188" i="1"/>
  <c r="G188" i="1"/>
  <c r="I188" i="1" s="1"/>
  <c r="C189" i="1" l="1"/>
  <c r="D189" i="1" s="1"/>
  <c r="Y189" i="1" l="1"/>
  <c r="H189" i="1"/>
  <c r="G189" i="1"/>
  <c r="I189" i="1" s="1"/>
  <c r="B190" i="1"/>
  <c r="C190" i="1" l="1"/>
  <c r="D190" i="1" s="1"/>
  <c r="Y190" i="1" l="1"/>
  <c r="B191" i="1"/>
  <c r="H190" i="1"/>
  <c r="G190" i="1"/>
  <c r="I190" i="1" s="1"/>
  <c r="C191" i="1" l="1"/>
  <c r="D191" i="1" s="1"/>
  <c r="Y191" i="1" l="1"/>
  <c r="G191" i="1"/>
  <c r="I191" i="1" s="1"/>
  <c r="B192" i="1"/>
  <c r="H191" i="1"/>
  <c r="C192" i="1" l="1"/>
  <c r="D192" i="1" s="1"/>
  <c r="Y192" i="1" l="1"/>
  <c r="B193" i="1"/>
  <c r="G192" i="1"/>
  <c r="I192" i="1" s="1"/>
  <c r="H192" i="1"/>
  <c r="C193" i="1" l="1"/>
  <c r="D193" i="1" s="1"/>
  <c r="Y193" i="1" l="1"/>
  <c r="B194" i="1"/>
  <c r="G193" i="1"/>
  <c r="I193" i="1" s="1"/>
  <c r="H193" i="1"/>
  <c r="C194" i="1" l="1"/>
  <c r="D194" i="1" s="1"/>
  <c r="G194" i="1" l="1"/>
  <c r="I194" i="1" s="1"/>
  <c r="Y194" i="1"/>
  <c r="B195" i="1"/>
  <c r="H194" i="1"/>
  <c r="C195" i="1" l="1"/>
  <c r="D195" i="1" s="1"/>
  <c r="G195" i="1" l="1"/>
  <c r="I195" i="1" s="1"/>
  <c r="B196" i="1"/>
  <c r="Y195" i="1"/>
  <c r="H195" i="1"/>
  <c r="C196" i="1" l="1"/>
  <c r="D196" i="1" s="1"/>
  <c r="Y196" i="1" l="1"/>
  <c r="H196" i="1"/>
  <c r="B197" i="1"/>
  <c r="G196" i="1"/>
  <c r="I196" i="1" s="1"/>
  <c r="C197" i="1" l="1"/>
  <c r="D197" i="1" s="1"/>
  <c r="G197" i="1" l="1"/>
  <c r="I197" i="1" s="1"/>
  <c r="Y197" i="1"/>
  <c r="B198" i="1"/>
  <c r="H197" i="1"/>
  <c r="C198" i="1" l="1"/>
  <c r="D198" i="1" s="1"/>
  <c r="B199" i="1" l="1"/>
  <c r="G198" i="1"/>
  <c r="I198" i="1" s="1"/>
  <c r="Y198" i="1"/>
  <c r="H198" i="1"/>
  <c r="C199" i="1" l="1"/>
  <c r="D199" i="1" s="1"/>
  <c r="G199" i="1" l="1"/>
  <c r="I199" i="1" s="1"/>
  <c r="Y199" i="1"/>
  <c r="H199" i="1"/>
  <c r="B200" i="1"/>
  <c r="C200" i="1" l="1"/>
  <c r="D200" i="1" s="1"/>
  <c r="Y200" i="1" l="1"/>
  <c r="B201" i="1"/>
  <c r="G200" i="1"/>
  <c r="I200" i="1" s="1"/>
  <c r="H200" i="1"/>
  <c r="C201" i="1" l="1"/>
  <c r="D201" i="1" s="1"/>
  <c r="Y201" i="1" l="1"/>
  <c r="G201" i="1"/>
  <c r="I201" i="1" s="1"/>
  <c r="B202" i="1"/>
  <c r="H201" i="1"/>
  <c r="C202" i="1" l="1"/>
  <c r="D202" i="1" s="1"/>
  <c r="B203" i="1" l="1"/>
  <c r="G202" i="1"/>
  <c r="I202" i="1" s="1"/>
  <c r="Y202" i="1"/>
  <c r="H202" i="1"/>
  <c r="C203" i="1" l="1"/>
  <c r="D203" i="1" s="1"/>
  <c r="Y203" i="1" l="1"/>
  <c r="B204" i="1"/>
  <c r="G203" i="1"/>
  <c r="I203" i="1" s="1"/>
  <c r="H203" i="1"/>
  <c r="C204" i="1" l="1"/>
  <c r="D204" i="1" s="1"/>
  <c r="Y204" i="1" l="1"/>
  <c r="H204" i="1"/>
  <c r="B205" i="1"/>
  <c r="G204" i="1"/>
  <c r="I204" i="1" s="1"/>
  <c r="C205" i="1" l="1"/>
  <c r="D205" i="1" s="1"/>
  <c r="Y205" i="1" l="1"/>
  <c r="G205" i="1"/>
  <c r="I205" i="1" s="1"/>
  <c r="B206" i="1"/>
  <c r="H205" i="1"/>
  <c r="C206" i="1" l="1"/>
  <c r="D206" i="1" s="1"/>
  <c r="G206" i="1" l="1"/>
  <c r="I206" i="1" s="1"/>
  <c r="B207" i="1"/>
  <c r="Y206" i="1"/>
  <c r="H206" i="1"/>
  <c r="C207" i="1" l="1"/>
  <c r="D207" i="1" s="1"/>
  <c r="G207" i="1" l="1"/>
  <c r="I207" i="1" s="1"/>
  <c r="Y207" i="1"/>
  <c r="B208" i="1"/>
  <c r="H207" i="1"/>
  <c r="C208" i="1" l="1"/>
  <c r="D208" i="1" s="1"/>
  <c r="G208" i="1" l="1"/>
  <c r="I208" i="1" s="1"/>
  <c r="B209" i="1"/>
  <c r="H208" i="1"/>
  <c r="Y208" i="1"/>
  <c r="C209" i="1" l="1"/>
  <c r="D209" i="1" s="1"/>
  <c r="Y209" i="1" l="1"/>
  <c r="G209" i="1"/>
  <c r="I209" i="1" s="1"/>
  <c r="B210" i="1"/>
  <c r="H209" i="1"/>
  <c r="C210" i="1" l="1"/>
  <c r="D210" i="1" s="1"/>
  <c r="G210" i="1" l="1"/>
  <c r="I210" i="1" s="1"/>
  <c r="Y210" i="1"/>
  <c r="B211" i="1"/>
  <c r="H210" i="1"/>
  <c r="C211" i="1" l="1"/>
  <c r="D211" i="1" s="1"/>
  <c r="Y211" i="1" l="1"/>
  <c r="B212" i="1"/>
  <c r="G211" i="1"/>
  <c r="I211" i="1" s="1"/>
  <c r="H211" i="1"/>
  <c r="C212" i="1" l="1"/>
  <c r="D212" i="1" s="1"/>
  <c r="B213" i="1" l="1"/>
  <c r="Y212" i="1"/>
  <c r="G212" i="1"/>
  <c r="I212" i="1" s="1"/>
  <c r="H212" i="1"/>
  <c r="C213" i="1" l="1"/>
  <c r="D213" i="1" s="1"/>
  <c r="Y213" i="1" l="1"/>
  <c r="B214" i="1"/>
  <c r="G213" i="1"/>
  <c r="I213" i="1" s="1"/>
  <c r="H213" i="1"/>
  <c r="C214" i="1" l="1"/>
  <c r="D214" i="1" s="1"/>
  <c r="B215" i="1" l="1"/>
  <c r="G214" i="1"/>
  <c r="I214" i="1" s="1"/>
  <c r="Y214" i="1"/>
  <c r="H214" i="1"/>
  <c r="C215" i="1" l="1"/>
  <c r="D215" i="1" s="1"/>
  <c r="G215" i="1" l="1"/>
  <c r="I215" i="1" s="1"/>
  <c r="Y215" i="1"/>
  <c r="B216" i="1"/>
  <c r="H215" i="1"/>
  <c r="C216" i="1" l="1"/>
  <c r="D216" i="1" s="1"/>
  <c r="Y216" i="1" l="1"/>
  <c r="G216" i="1"/>
  <c r="I216" i="1" s="1"/>
  <c r="B217" i="1"/>
  <c r="H216" i="1"/>
  <c r="C217" i="1" l="1"/>
  <c r="D217" i="1" s="1"/>
  <c r="Y217" i="1" l="1"/>
  <c r="G217" i="1"/>
  <c r="I217" i="1" s="1"/>
  <c r="B218" i="1"/>
  <c r="H217" i="1"/>
  <c r="C218" i="1" l="1"/>
  <c r="D218" i="1" s="1"/>
  <c r="Y218" i="1" l="1"/>
  <c r="B219" i="1"/>
  <c r="H218" i="1"/>
  <c r="G218" i="1"/>
  <c r="I218" i="1" s="1"/>
  <c r="C219" i="1" l="1"/>
  <c r="D219" i="1" s="1"/>
  <c r="Y219" i="1" l="1"/>
  <c r="H219" i="1"/>
  <c r="G219" i="1"/>
  <c r="I219" i="1" s="1"/>
  <c r="B220" i="1"/>
  <c r="C220" i="1" l="1"/>
  <c r="D220" i="1" s="1"/>
  <c r="Y220" i="1" l="1"/>
  <c r="B221" i="1"/>
  <c r="G220" i="1"/>
  <c r="I220" i="1" s="1"/>
  <c r="H220" i="1"/>
  <c r="C221" i="1" l="1"/>
  <c r="D221" i="1" s="1"/>
  <c r="Y221" i="1" l="1"/>
  <c r="B222" i="1"/>
  <c r="G221" i="1"/>
  <c r="I221" i="1" s="1"/>
  <c r="H221" i="1"/>
  <c r="C222" i="1" l="1"/>
  <c r="D222" i="1" s="1"/>
  <c r="Y222" i="1" l="1"/>
  <c r="G222" i="1"/>
  <c r="I222" i="1" s="1"/>
  <c r="H222" i="1"/>
  <c r="B223" i="1"/>
  <c r="C223" i="1" l="1"/>
  <c r="D223" i="1" s="1"/>
  <c r="G223" i="1" l="1"/>
  <c r="I223" i="1" s="1"/>
  <c r="B224" i="1"/>
  <c r="Y223" i="1"/>
  <c r="H223" i="1"/>
  <c r="C224" i="1" l="1"/>
  <c r="D224" i="1" s="1"/>
  <c r="Y224" i="1" l="1"/>
  <c r="G224" i="1"/>
  <c r="I224" i="1" s="1"/>
  <c r="B225" i="1"/>
  <c r="H224" i="1"/>
  <c r="C225" i="1" l="1"/>
  <c r="D225" i="1" s="1"/>
  <c r="Y225" i="1" l="1"/>
  <c r="G225" i="1"/>
  <c r="I225" i="1" s="1"/>
  <c r="B226" i="1"/>
  <c r="H225" i="1"/>
  <c r="C226" i="1" l="1"/>
  <c r="D226" i="1" s="1"/>
  <c r="B227" i="1" l="1"/>
  <c r="Y226" i="1"/>
  <c r="G226" i="1"/>
  <c r="I226" i="1" s="1"/>
  <c r="H226" i="1"/>
  <c r="C227" i="1" l="1"/>
  <c r="D227" i="1" s="1"/>
  <c r="Y227" i="1" l="1"/>
  <c r="H227" i="1"/>
  <c r="G227" i="1"/>
  <c r="I227" i="1" s="1"/>
  <c r="B228" i="1"/>
  <c r="C228" i="1" l="1"/>
  <c r="D228" i="1" s="1"/>
  <c r="B229" i="1" l="1"/>
  <c r="Y228" i="1"/>
  <c r="G228" i="1"/>
  <c r="I228" i="1" s="1"/>
  <c r="H228" i="1"/>
  <c r="C229" i="1" l="1"/>
  <c r="D229" i="1" s="1"/>
  <c r="Y229" i="1" l="1"/>
  <c r="B230" i="1"/>
  <c r="G229" i="1"/>
  <c r="I229" i="1" s="1"/>
  <c r="H229" i="1"/>
  <c r="C230" i="1" l="1"/>
  <c r="D230" i="1" s="1"/>
  <c r="G230" i="1" l="1"/>
  <c r="I230" i="1" s="1"/>
  <c r="B231" i="1"/>
  <c r="Y230" i="1"/>
  <c r="H230" i="1"/>
  <c r="C231" i="1" l="1"/>
  <c r="D231" i="1" s="1"/>
  <c r="G231" i="1" l="1"/>
  <c r="I231" i="1" s="1"/>
  <c r="B232" i="1"/>
  <c r="Y231" i="1"/>
  <c r="H231" i="1"/>
  <c r="C232" i="1" l="1"/>
  <c r="D232" i="1" s="1"/>
  <c r="Y232" i="1" l="1"/>
  <c r="B233" i="1"/>
  <c r="H232" i="1"/>
  <c r="G232" i="1"/>
  <c r="I232" i="1" s="1"/>
  <c r="C233" i="1" l="1"/>
  <c r="D233" i="1" s="1"/>
  <c r="Y233" i="1" l="1"/>
  <c r="B234" i="1"/>
  <c r="G233" i="1"/>
  <c r="I233" i="1" s="1"/>
  <c r="H233" i="1"/>
  <c r="C234" i="1" l="1"/>
  <c r="D234" i="1" s="1"/>
  <c r="B235" i="1" l="1"/>
  <c r="G234" i="1"/>
  <c r="I234" i="1" s="1"/>
  <c r="Y234" i="1"/>
  <c r="H234" i="1"/>
  <c r="C235" i="1" l="1"/>
  <c r="D235" i="1" s="1"/>
  <c r="Y235" i="1" l="1"/>
  <c r="G235" i="1"/>
  <c r="I235" i="1" s="1"/>
  <c r="B236" i="1"/>
  <c r="H235" i="1"/>
  <c r="C236" i="1" l="1"/>
  <c r="D236" i="1" s="1"/>
  <c r="B237" i="1" l="1"/>
  <c r="G236" i="1"/>
  <c r="I236" i="1" s="1"/>
  <c r="Y236" i="1"/>
  <c r="H236" i="1"/>
  <c r="C237" i="1" l="1"/>
  <c r="D237" i="1" s="1"/>
  <c r="Y237" i="1" l="1"/>
  <c r="G237" i="1"/>
  <c r="I237" i="1" s="1"/>
  <c r="B238" i="1"/>
  <c r="H237" i="1"/>
  <c r="C238" i="1" l="1"/>
  <c r="D238" i="1" s="1"/>
  <c r="Y238" i="1" l="1"/>
  <c r="G238" i="1"/>
  <c r="I238" i="1" s="1"/>
  <c r="B239" i="1"/>
  <c r="H238" i="1"/>
  <c r="C239" i="1" l="1"/>
  <c r="D239" i="1" s="1"/>
  <c r="G239" i="1" l="1"/>
  <c r="I239" i="1" s="1"/>
  <c r="Y239" i="1"/>
  <c r="B240" i="1"/>
  <c r="H239" i="1"/>
  <c r="C240" i="1" l="1"/>
  <c r="D240" i="1" s="1"/>
  <c r="Y240" i="1" l="1"/>
  <c r="B241" i="1"/>
  <c r="G240" i="1"/>
  <c r="I240" i="1" s="1"/>
  <c r="H240" i="1"/>
  <c r="C241" i="1" l="1"/>
  <c r="D241" i="1" s="1"/>
  <c r="Y241" i="1" l="1"/>
  <c r="B242" i="1"/>
  <c r="G241" i="1"/>
  <c r="I241" i="1" s="1"/>
  <c r="H241" i="1"/>
  <c r="C242" i="1" l="1"/>
  <c r="D242" i="1" s="1"/>
  <c r="Y242" i="1" l="1"/>
  <c r="B243" i="1"/>
  <c r="H242" i="1"/>
  <c r="G242" i="1"/>
  <c r="I242" i="1" s="1"/>
  <c r="C243" i="1" l="1"/>
  <c r="D243" i="1" s="1"/>
  <c r="Y243" i="1" l="1"/>
  <c r="B244" i="1"/>
  <c r="G243" i="1"/>
  <c r="I243" i="1" s="1"/>
  <c r="H243" i="1"/>
  <c r="C244" i="1" l="1"/>
  <c r="D244" i="1" s="1"/>
  <c r="Y244" i="1" l="1"/>
  <c r="B245" i="1"/>
  <c r="G244" i="1"/>
  <c r="I244" i="1" s="1"/>
  <c r="H244" i="1"/>
  <c r="C245" i="1" l="1"/>
  <c r="D245" i="1" s="1"/>
  <c r="Y245" i="1" l="1"/>
  <c r="G245" i="1"/>
  <c r="I245" i="1" s="1"/>
  <c r="B246" i="1"/>
  <c r="H245" i="1"/>
  <c r="C246" i="1" l="1"/>
  <c r="D246" i="1" s="1"/>
  <c r="Y246" i="1" l="1"/>
  <c r="G246" i="1"/>
  <c r="I246" i="1" s="1"/>
  <c r="B247" i="1"/>
  <c r="H246" i="1"/>
  <c r="C247" i="1" l="1"/>
  <c r="D247" i="1" s="1"/>
  <c r="G247" i="1" l="1"/>
  <c r="I247" i="1" s="1"/>
  <c r="Y247" i="1"/>
  <c r="B248" i="1"/>
  <c r="H247" i="1"/>
  <c r="C248" i="1" l="1"/>
  <c r="D248" i="1" s="1"/>
  <c r="Y248" i="1" l="1"/>
  <c r="G248" i="1"/>
  <c r="I248" i="1" s="1"/>
  <c r="B249" i="1"/>
  <c r="H248" i="1"/>
  <c r="C249" i="1" l="1"/>
  <c r="D249" i="1" s="1"/>
  <c r="B250" i="1" l="1"/>
  <c r="G249" i="1"/>
  <c r="I249" i="1" s="1"/>
  <c r="Y249" i="1"/>
  <c r="H249" i="1"/>
  <c r="C250" i="1" l="1"/>
  <c r="D250" i="1" s="1"/>
  <c r="Y250" i="1" l="1"/>
  <c r="B251" i="1"/>
  <c r="G250" i="1"/>
  <c r="I250" i="1" s="1"/>
  <c r="H250" i="1"/>
  <c r="C251" i="1" l="1"/>
  <c r="D251" i="1" s="1"/>
  <c r="B252" i="1" s="1"/>
  <c r="C252" i="1" l="1"/>
  <c r="D252" i="1" s="1"/>
  <c r="Y251" i="1"/>
  <c r="G251" i="1"/>
  <c r="I251" i="1" s="1"/>
  <c r="H251" i="1"/>
  <c r="AA1" i="1" l="1"/>
  <c r="AA2" i="1" s="1"/>
  <c r="AA5" i="1" s="1"/>
  <c r="G252" i="1"/>
  <c r="I252" i="1" s="1"/>
  <c r="Y252" i="1"/>
  <c r="H252" i="1"/>
  <c r="AB5" i="1"/>
  <c r="AA4" i="1" l="1"/>
</calcChain>
</file>

<file path=xl/sharedStrings.xml><?xml version="1.0" encoding="utf-8"?>
<sst xmlns="http://schemas.openxmlformats.org/spreadsheetml/2006/main" count="47" uniqueCount="45">
  <si>
    <t>Avanza Credit Monitor</t>
  </si>
  <si>
    <t>Yellow cells are editable. Projection assumes portfolio value stays constant and debt compounds monthly if you do nothing.</t>
  </si>
  <si>
    <t>Inputs</t>
  </si>
  <si>
    <t>Summary</t>
  </si>
  <si>
    <t>Utilized credit (SEK)</t>
  </si>
  <si>
    <t>Current LTV</t>
  </si>
  <si>
    <t>Portfolio value (SEK)</t>
  </si>
  <si>
    <t>Monthly rate</t>
  </si>
  <si>
    <t>Credit limit (SEK)</t>
  </si>
  <si>
    <t>Deposit needed now (SEK)</t>
  </si>
  <si>
    <t>Annual interest rate</t>
  </si>
  <si>
    <t>Tightest allowed debt (SEK)</t>
  </si>
  <si>
    <t>Max LTV threshold</t>
  </si>
  <si>
    <t>Current headroom (SEK)</t>
  </si>
  <si>
    <t>Projection months</t>
  </si>
  <si>
    <t>Debt after selected months (SEK)</t>
  </si>
  <si>
    <t>Deposit needed at final month (SEK)</t>
  </si>
  <si>
    <t>Projection table</t>
  </si>
  <si>
    <t>Month</t>
  </si>
  <si>
    <t>Closing debt</t>
  </si>
  <si>
    <t>Allowed debt</t>
  </si>
  <si>
    <t>Opening debt (SEK)</t>
  </si>
  <si>
    <t>Interest this month (SEK)</t>
  </si>
  <si>
    <t>Closing debt (SEK)</t>
  </si>
  <si>
    <t>Allowed by LTV rule (SEK)</t>
  </si>
  <si>
    <t>Deposit / sale needed (SEK)</t>
  </si>
  <si>
    <t>Headroom (SEK)</t>
  </si>
  <si>
    <t>Status</t>
  </si>
  <si>
    <t>How this workbook works</t>
  </si>
  <si>
    <t>1) Edit the yellow cells on Credit Monitor.</t>
  </si>
  <si>
    <t>2) The three main user inputs are utilized credit, portfolio value, and credit limit.</t>
  </si>
  <si>
    <t>3) Defaults are 3.59% annual interest, monthly compounding, and an 80% max LTV.</t>
  </si>
  <si>
    <t>4) The projection assumes portfolio value stays constant and you do nothing to the debt.</t>
  </si>
  <si>
    <t>5) LTV rule: debt ≤ max LTV × portfolio value.</t>
  </si>
  <si>
    <t>6) Credit-limit rule: debt ≤ credit limit.</t>
  </si>
  <si>
    <t>7) Deposit / sale needed = MAX(0, debt − credit limit, debt − max LTV × portfolio value).</t>
  </si>
  <si>
    <t>8) A deposit is modeled as reducing debt, not increasing securities value.</t>
  </si>
  <si>
    <t>Basis</t>
  </si>
  <si>
    <t>Built from user-provided Avanza setup in this conversation</t>
  </si>
  <si>
    <t>Annual rate</t>
  </si>
  <si>
    <t>3.59%</t>
  </si>
  <si>
    <t>Compounding</t>
  </si>
  <si>
    <t>Monthly</t>
  </si>
  <si>
    <t>Default LTV threshold</t>
  </si>
  <si>
    <t>80%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</si>
</sst>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;[Red]\(#,##0.00\);\-"/>
    <numFmt numFmtId="165" formatCode="0.00%;[Red]\(0.00%\);\-"/>
    <numFmt numFmtId="166" formatCode="#,##0;[Red]\(#,##0\);\-"/>
    <numFmt numFmtId="167" formatCode="0.0000%;[Red]\(0.0000%\);\-"/>
  </numFmts>
  <fonts count="10">
    <font>
      <sz val="11"/>
      <name val="Carlito"/>
    </font>
    <font>
      <sz val="11"/>
      <name val="Cambria"/>
      <family val="1"/>
    </font>
    <font>
      <b/>
      <sz val="11"/>
      <color rgb="FFFFFFFF"/>
      <name val="Cambria"/>
      <family val="1"/>
    </font>
    <font>
      <b/>
      <sz val="15"/>
      <color rgb="FFFFFFFF"/>
      <name val="Calibri"/>
      <family val="2"/>
      <scheme val="minor"/>
    </font>
    <font>
      <i/>
      <sz val="11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3" tint="0.249977111117893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F5132"/>
      </patternFill>
    </fill>
    <fill>
      <patternFill patternType="solid">
        <fgColor rgb="FFF8F9FA"/>
      </patternFill>
    </fill>
    <fill>
      <patternFill patternType="solid">
        <fgColor rgb="FFF3F8FC"/>
      </patternFill>
    </fill>
    <fill>
      <patternFill patternType="solid">
        <fgColor rgb="FFFFF3CD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2" borderId="0" xfId="0" applyFont="1" applyFill="1"/>
    <xf numFmtId="166" fontId="1" fillId="0" borderId="0" xfId="0" applyNumberFormat="1" applyFont="1"/>
    <xf numFmtId="164" fontId="1" fillId="0" borderId="0" xfId="0" applyNumberFormat="1" applyFont="1"/>
    <xf numFmtId="0" fontId="6" fillId="0" borderId="0" xfId="0" applyFont="1"/>
    <xf numFmtId="0" fontId="7" fillId="4" borderId="0" xfId="0" applyFont="1" applyFill="1" applyAlignment="1">
      <alignment wrapText="1"/>
    </xf>
    <xf numFmtId="1" fontId="6" fillId="0" borderId="0" xfId="0" applyNumberFormat="1" applyFont="1" applyAlignment="1">
      <alignment horizontal="right"/>
    </xf>
    <xf numFmtId="164" fontId="6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165" fontId="7" fillId="7" borderId="0" xfId="0" applyNumberFormat="1" applyFont="1" applyFill="1" applyAlignment="1">
      <alignment horizontal="right"/>
    </xf>
    <xf numFmtId="164" fontId="7" fillId="7" borderId="0" xfId="0" applyNumberFormat="1" applyFont="1" applyFill="1" applyAlignment="1">
      <alignment horizontal="right"/>
    </xf>
    <xf numFmtId="0" fontId="7" fillId="7" borderId="0" xfId="0" applyFont="1" applyFill="1" applyAlignment="1">
      <alignment horizontal="center" wrapText="1"/>
    </xf>
    <xf numFmtId="164" fontId="8" fillId="5" borderId="0" xfId="0" applyNumberFormat="1" applyFont="1" applyFill="1" applyAlignment="1">
      <alignment horizontal="right"/>
    </xf>
    <xf numFmtId="165" fontId="8" fillId="5" borderId="0" xfId="0" applyNumberFormat="1" applyFont="1" applyFill="1" applyAlignment="1">
      <alignment horizontal="right"/>
    </xf>
    <xf numFmtId="166" fontId="8" fillId="5" borderId="0" xfId="0" applyNumberFormat="1" applyFont="1" applyFill="1" applyAlignment="1">
      <alignment horizontal="right"/>
    </xf>
    <xf numFmtId="0" fontId="2" fillId="0" borderId="0" xfId="0" applyFont="1"/>
    <xf numFmtId="0" fontId="6" fillId="0" borderId="0" xfId="0" applyFont="1" applyAlignment="1">
      <alignment wrapText="1"/>
    </xf>
    <xf numFmtId="0" fontId="6" fillId="4" borderId="0" xfId="0" applyFont="1" applyFill="1"/>
    <xf numFmtId="167" fontId="7" fillId="7" borderId="0" xfId="0" applyNumberFormat="1" applyFont="1" applyFill="1" applyAlignment="1">
      <alignment horizontal="right"/>
    </xf>
    <xf numFmtId="0" fontId="3" fillId="6" borderId="0" xfId="0" applyFont="1" applyFill="1" applyAlignment="1">
      <alignment horizontal="center" vertical="center"/>
    </xf>
    <xf numFmtId="0" fontId="4" fillId="3" borderId="0" xfId="0" applyFont="1" applyFill="1" applyAlignment="1">
      <alignment wrapText="1"/>
    </xf>
    <xf numFmtId="0" fontId="5" fillId="6" borderId="0" xfId="0" applyFont="1" applyFill="1" applyAlignment="1">
      <alignment horizontal="left" vertical="center"/>
    </xf>
    <xf numFmtId="0" fontId="9" fillId="2" borderId="0" xfId="0" applyFont="1" applyFill="1" applyAlignment="1">
      <alignment horizontal="center"/>
    </xf>
  </cellXfs>
  <cellStyles count="1">
    <cellStyle name="Normal" xfId="0" builtinId="0"/>
  </cellStyles>
  <dxfs count="4">
    <dxf>
      <font>
        <b/>
        <color rgb="FF0F5132"/>
      </font>
      <fill>
        <patternFill patternType="solid">
          <bgColor rgb="FFD4EDDA"/>
        </patternFill>
      </fill>
    </dxf>
    <dxf>
      <font>
        <b/>
        <color rgb="FFC00000"/>
      </font>
      <fill>
        <patternFill patternType="solid">
          <bgColor rgb="FFF8D7DA"/>
        </patternFill>
      </fill>
    </dxf>
    <dxf>
      <font>
        <b/>
        <color rgb="FFC00000"/>
      </font>
      <fill>
        <patternFill patternType="solid">
          <bgColor rgb="FFF8D7DA"/>
        </patternFill>
      </fill>
    </dxf>
    <dxf>
      <font>
        <b/>
        <color rgb="FFC00000"/>
      </font>
      <fill>
        <patternFill patternType="solid">
          <bgColor rgb="FFF8D7DA"/>
        </patternFill>
      </fill>
    </dxf>
  </dxfs>
  <tableStyles count="0" defaultTableStyle="TableStyleMedium2" defaultPivotStyle="PivotStyleLight16"/>
  <colors>
    <mruColors>
      <color rgb="FFFED9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Debt vs.</a:t>
            </a:r>
            <a:r>
              <a:rPr lang="en-US" baseline="0"/>
              <a:t> Allowed debt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Debt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'Credit Monitor'!$X$13:$X$300</c:f>
              <c:numCache>
                <c:formatCode>#,##0;[Red]\(#,##0\);\-</c:formatCode>
                <c:ptCount val="28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</c:numCache>
            </c:numRef>
          </c:xVal>
          <c:yVal>
            <c:numRef>
              <c:f>'Credit Monitor'!$Y$13:$Y$300</c:f>
              <c:numCache>
                <c:formatCode>#,##0.00;[Red]\(#,##0.00\);\-</c:formatCode>
                <c:ptCount val="288"/>
                <c:pt idx="0">
                  <c:v>80000</c:v>
                </c:pt>
                <c:pt idx="1">
                  <c:v>80239.333333333328</c:v>
                </c:pt>
                <c:pt idx="2">
                  <c:v>80479.382672222215</c:v>
                </c:pt>
                <c:pt idx="3">
                  <c:v>80720.150158716613</c:v>
                </c:pt>
                <c:pt idx="4">
                  <c:v>80961.637941274777</c:v>
                </c:pt>
                <c:pt idx="5">
                  <c:v>81203.848174782426</c:v>
                </c:pt>
                <c:pt idx="6">
                  <c:v>81446.78302057198</c:v>
                </c:pt>
                <c:pt idx="7">
                  <c:v>81690.444646441858</c:v>
                </c:pt>
                <c:pt idx="8">
                  <c:v>81934.835226675801</c:v>
                </c:pt>
                <c:pt idx="9">
                  <c:v>82179.956942062272</c:v>
                </c:pt>
                <c:pt idx="10">
                  <c:v>82425.811979913939</c:v>
                </c:pt>
                <c:pt idx="11">
                  <c:v>82672.402534087174</c:v>
                </c:pt>
                <c:pt idx="12">
                  <c:v>82919.730805001658</c:v>
                </c:pt>
                <c:pt idx="13">
                  <c:v>83167.79899965995</c:v>
                </c:pt>
                <c:pt idx="14">
                  <c:v>83416.609331667263</c:v>
                </c:pt>
                <c:pt idx="15">
                  <c:v>83666.16402125117</c:v>
                </c:pt>
                <c:pt idx="16">
                  <c:v>83916.465295281407</c:v>
                </c:pt>
                <c:pt idx="17">
                  <c:v>84167.515387289794</c:v>
                </c:pt>
                <c:pt idx="18">
                  <c:v>84419.3165374901</c:v>
                </c:pt>
                <c:pt idx="19">
                  <c:v>84671.870992798096</c:v>
                </c:pt>
                <c:pt idx="20">
                  <c:v>84925.181006851548</c:v>
                </c:pt>
                <c:pt idx="21">
                  <c:v>85179.248840030385</c:v>
                </c:pt>
                <c:pt idx="22">
                  <c:v>85434.076759476811</c:v>
                </c:pt>
                <c:pt idx="23">
                  <c:v>85689.667039115579</c:v>
                </c:pt>
                <c:pt idx="24">
                  <c:v>85946.021959674268</c:v>
                </c:pt>
                <c:pt idx="25">
                  <c:v>86203.143808703622</c:v>
                </c:pt>
                <c:pt idx="26">
                  <c:v>86461.034880597988</c:v>
                </c:pt>
                <c:pt idx="27">
                  <c:v>86719.69747661578</c:v>
                </c:pt>
                <c:pt idx="28">
                  <c:v>86979.133904899994</c:v>
                </c:pt>
                <c:pt idx="29">
                  <c:v>87239.346480498818</c:v>
                </c:pt>
                <c:pt idx="30">
                  <c:v>87500.337525386305</c:v>
                </c:pt>
                <c:pt idx="31">
                  <c:v>87762.109368483085</c:v>
                </c:pt>
                <c:pt idx="32">
                  <c:v>88024.664345677127</c:v>
                </c:pt>
                <c:pt idx="33">
                  <c:v>88288.00479984461</c:v>
                </c:pt>
                <c:pt idx="34">
                  <c:v>88552.133080870815</c:v>
                </c:pt>
                <c:pt idx="35">
                  <c:v>88817.051545671085</c:v>
                </c:pt>
                <c:pt idx="36">
                  <c:v>89082.762558211878</c:v>
                </c:pt>
                <c:pt idx="37">
                  <c:v>89349.268489531867</c:v>
                </c:pt>
                <c:pt idx="38">
                  <c:v>89616.571717763043</c:v>
                </c:pt>
                <c:pt idx="39">
                  <c:v>89884.674628152017</c:v>
                </c:pt>
                <c:pt idx="40">
                  <c:v>90153.579613081238</c:v>
                </c:pt>
                <c:pt idx="41">
                  <c:v>90423.289072090367</c:v>
                </c:pt>
                <c:pt idx="42">
                  <c:v>90693.805411897702</c:v>
                </c:pt>
                <c:pt idx="43">
                  <c:v>90965.131046421622</c:v>
                </c:pt>
                <c:pt idx="44">
                  <c:v>91237.268396802174</c:v>
                </c:pt>
                <c:pt idx="45">
                  <c:v>91510.219891422603</c:v>
                </c:pt>
                <c:pt idx="46">
                  <c:v>91783.987965931112</c:v>
                </c:pt>
                <c:pt idx="47">
                  <c:v>92058.575063262528</c:v>
                </c:pt>
                <c:pt idx="48">
                  <c:v>92333.983633660115</c:v>
                </c:pt>
                <c:pt idx="49">
                  <c:v>92610.216134697475</c:v>
                </c:pt>
                <c:pt idx="50">
                  <c:v>92887.275031300451</c:v>
                </c:pt>
                <c:pt idx="51">
                  <c:v>93165.162795769094</c:v>
                </c:pt>
                <c:pt idx="52">
                  <c:v>93443.881907799776</c:v>
                </c:pt>
                <c:pt idx="53">
                  <c:v>93723.434854507272</c:v>
                </c:pt>
                <c:pt idx="54">
                  <c:v>94003.824130446999</c:v>
                </c:pt>
                <c:pt idx="55">
                  <c:v>94285.052237637254</c:v>
                </c:pt>
                <c:pt idx="56">
                  <c:v>94567.121685581515</c:v>
                </c:pt>
                <c:pt idx="57">
                  <c:v>94850.034991290886</c:v>
                </c:pt>
                <c:pt idx="58">
                  <c:v>95133.794679306491</c:v>
                </c:pt>
                <c:pt idx="59">
                  <c:v>95418.403281722087</c:v>
                </c:pt>
                <c:pt idx="60">
                  <c:v>95703.863338206575</c:v>
                </c:pt>
                <c:pt idx="61">
                  <c:v>95990.177396026716</c:v>
                </c:pt>
                <c:pt idx="62">
                  <c:v>96277.348010069836</c:v>
                </c:pt>
                <c:pt idx="63">
                  <c:v>96565.377742866622</c:v>
                </c:pt>
                <c:pt idx="64">
                  <c:v>96854.26916461403</c:v>
                </c:pt>
                <c:pt idx="65">
                  <c:v>97144.024853198163</c:v>
                </c:pt>
                <c:pt idx="66">
                  <c:v>97434.647394217318</c:v>
                </c:pt>
                <c:pt idx="67">
                  <c:v>97726.139381005021</c:v>
                </c:pt>
                <c:pt idx="68">
                  <c:v>98018.503414653198</c:v>
                </c:pt>
                <c:pt idx="69">
                  <c:v>98311.742104035366</c:v>
                </c:pt>
                <c:pt idx="70">
                  <c:v>98605.858065829932</c:v>
                </c:pt>
                <c:pt idx="71">
                  <c:v>98900.853924543539</c:v>
                </c:pt>
                <c:pt idx="72">
                  <c:v>99196.73231253447</c:v>
                </c:pt>
                <c:pt idx="73">
                  <c:v>99493.495870036131</c:v>
                </c:pt>
                <c:pt idx="74">
                  <c:v>99791.147245180662</c:v>
                </c:pt>
                <c:pt idx="75">
                  <c:v>100089.6890940225</c:v>
                </c:pt>
                <c:pt idx="76">
                  <c:v>100389.12408056212</c:v>
                </c:pt>
                <c:pt idx="77">
                  <c:v>100689.4548767698</c:v>
                </c:pt>
                <c:pt idx="78">
                  <c:v>100990.68416260947</c:v>
                </c:pt>
                <c:pt idx="79">
                  <c:v>101292.81462606261</c:v>
                </c:pt>
                <c:pt idx="80">
                  <c:v>101595.84896315225</c:v>
                </c:pt>
                <c:pt idx="81">
                  <c:v>101899.78987796702</c:v>
                </c:pt>
                <c:pt idx="82">
                  <c:v>102204.64008268528</c:v>
                </c:pt>
                <c:pt idx="83">
                  <c:v>102510.40229759931</c:v>
                </c:pt>
                <c:pt idx="84">
                  <c:v>102817.07925113963</c:v>
                </c:pt>
                <c:pt idx="85">
                  <c:v>103124.67367989929</c:v>
                </c:pt>
                <c:pt idx="86">
                  <c:v>103433.18832865833</c:v>
                </c:pt>
                <c:pt idx="87">
                  <c:v>103742.62595040824</c:v>
                </c:pt>
                <c:pt idx="88">
                  <c:v>104052.98930637655</c:v>
                </c:pt>
                <c:pt idx="89">
                  <c:v>104364.28116605146</c:v>
                </c:pt>
                <c:pt idx="90">
                  <c:v>104676.50430720656</c:v>
                </c:pt>
                <c:pt idx="91">
                  <c:v>104989.66151592562</c:v>
                </c:pt>
                <c:pt idx="92">
                  <c:v>105303.75558662743</c:v>
                </c:pt>
                <c:pt idx="93">
                  <c:v>105618.78932209076</c:v>
                </c:pt>
                <c:pt idx="94">
                  <c:v>105934.76553347935</c:v>
                </c:pt>
                <c:pt idx="95">
                  <c:v>106251.68704036702</c:v>
                </c:pt>
                <c:pt idx="96">
                  <c:v>106569.55667076279</c:v>
                </c:pt>
                <c:pt idx="97">
                  <c:v>106888.37726113615</c:v>
                </c:pt>
                <c:pt idx="98">
                  <c:v>107208.15165644238</c:v>
                </c:pt>
                <c:pt idx="99">
                  <c:v>107528.8827101479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CA-42ED-B2FB-C6D2CC2EE479}"/>
            </c:ext>
          </c:extLst>
        </c:ser>
        <c:ser>
          <c:idx val="1"/>
          <c:order val="1"/>
          <c:tx>
            <c:v>Allowed debt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'Credit Monitor'!$X$13:$X$300</c:f>
              <c:numCache>
                <c:formatCode>#,##0;[Red]\(#,##0\);\-</c:formatCode>
                <c:ptCount val="28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</c:numCache>
            </c:numRef>
          </c:xVal>
          <c:yVal>
            <c:numRef>
              <c:f>'Credit Monitor'!$Z$13:$Z$300</c:f>
              <c:numCache>
                <c:formatCode>#,##0.00;[Red]\(#,##0.00\);\-</c:formatCode>
                <c:ptCount val="288"/>
                <c:pt idx="0">
                  <c:v>80000</c:v>
                </c:pt>
                <c:pt idx="1">
                  <c:v>80000</c:v>
                </c:pt>
                <c:pt idx="2">
                  <c:v>80000</c:v>
                </c:pt>
                <c:pt idx="3">
                  <c:v>80000</c:v>
                </c:pt>
                <c:pt idx="4">
                  <c:v>80000</c:v>
                </c:pt>
                <c:pt idx="5">
                  <c:v>80000</c:v>
                </c:pt>
                <c:pt idx="6">
                  <c:v>80000</c:v>
                </c:pt>
                <c:pt idx="7">
                  <c:v>80000</c:v>
                </c:pt>
                <c:pt idx="8">
                  <c:v>80000</c:v>
                </c:pt>
                <c:pt idx="9">
                  <c:v>80000</c:v>
                </c:pt>
                <c:pt idx="10">
                  <c:v>80000</c:v>
                </c:pt>
                <c:pt idx="11">
                  <c:v>80000</c:v>
                </c:pt>
                <c:pt idx="12">
                  <c:v>80000</c:v>
                </c:pt>
                <c:pt idx="13">
                  <c:v>80000</c:v>
                </c:pt>
                <c:pt idx="14">
                  <c:v>80000</c:v>
                </c:pt>
                <c:pt idx="15">
                  <c:v>80000</c:v>
                </c:pt>
                <c:pt idx="16">
                  <c:v>80000</c:v>
                </c:pt>
                <c:pt idx="17">
                  <c:v>80000</c:v>
                </c:pt>
                <c:pt idx="18">
                  <c:v>80000</c:v>
                </c:pt>
                <c:pt idx="19">
                  <c:v>80000</c:v>
                </c:pt>
                <c:pt idx="20">
                  <c:v>80000</c:v>
                </c:pt>
                <c:pt idx="21">
                  <c:v>80000</c:v>
                </c:pt>
                <c:pt idx="22">
                  <c:v>80000</c:v>
                </c:pt>
                <c:pt idx="23">
                  <c:v>80000</c:v>
                </c:pt>
                <c:pt idx="24">
                  <c:v>80000</c:v>
                </c:pt>
                <c:pt idx="25">
                  <c:v>80000</c:v>
                </c:pt>
                <c:pt idx="26">
                  <c:v>80000</c:v>
                </c:pt>
                <c:pt idx="27">
                  <c:v>80000</c:v>
                </c:pt>
                <c:pt idx="28">
                  <c:v>80000</c:v>
                </c:pt>
                <c:pt idx="29">
                  <c:v>80000</c:v>
                </c:pt>
                <c:pt idx="30">
                  <c:v>80000</c:v>
                </c:pt>
                <c:pt idx="31">
                  <c:v>80000</c:v>
                </c:pt>
                <c:pt idx="32">
                  <c:v>80000</c:v>
                </c:pt>
                <c:pt idx="33">
                  <c:v>80000</c:v>
                </c:pt>
                <c:pt idx="34">
                  <c:v>80000</c:v>
                </c:pt>
                <c:pt idx="35">
                  <c:v>80000</c:v>
                </c:pt>
                <c:pt idx="36">
                  <c:v>80000</c:v>
                </c:pt>
                <c:pt idx="37">
                  <c:v>80000</c:v>
                </c:pt>
                <c:pt idx="38">
                  <c:v>80000</c:v>
                </c:pt>
                <c:pt idx="39">
                  <c:v>80000</c:v>
                </c:pt>
                <c:pt idx="40">
                  <c:v>80000</c:v>
                </c:pt>
                <c:pt idx="41">
                  <c:v>80000</c:v>
                </c:pt>
                <c:pt idx="42">
                  <c:v>80000</c:v>
                </c:pt>
                <c:pt idx="43">
                  <c:v>80000</c:v>
                </c:pt>
                <c:pt idx="44">
                  <c:v>80000</c:v>
                </c:pt>
                <c:pt idx="45">
                  <c:v>80000</c:v>
                </c:pt>
                <c:pt idx="46">
                  <c:v>80000</c:v>
                </c:pt>
                <c:pt idx="47">
                  <c:v>80000</c:v>
                </c:pt>
                <c:pt idx="48">
                  <c:v>80000</c:v>
                </c:pt>
                <c:pt idx="49">
                  <c:v>80000</c:v>
                </c:pt>
                <c:pt idx="50">
                  <c:v>80000</c:v>
                </c:pt>
                <c:pt idx="51">
                  <c:v>80000</c:v>
                </c:pt>
                <c:pt idx="52">
                  <c:v>80000</c:v>
                </c:pt>
                <c:pt idx="53">
                  <c:v>80000</c:v>
                </c:pt>
                <c:pt idx="54">
                  <c:v>80000</c:v>
                </c:pt>
                <c:pt idx="55">
                  <c:v>80000</c:v>
                </c:pt>
                <c:pt idx="56">
                  <c:v>80000</c:v>
                </c:pt>
                <c:pt idx="57">
                  <c:v>80000</c:v>
                </c:pt>
                <c:pt idx="58">
                  <c:v>80000</c:v>
                </c:pt>
                <c:pt idx="59">
                  <c:v>80000</c:v>
                </c:pt>
                <c:pt idx="60">
                  <c:v>80000</c:v>
                </c:pt>
                <c:pt idx="61">
                  <c:v>80000</c:v>
                </c:pt>
                <c:pt idx="62">
                  <c:v>80000</c:v>
                </c:pt>
                <c:pt idx="63">
                  <c:v>80000</c:v>
                </c:pt>
                <c:pt idx="64">
                  <c:v>80000</c:v>
                </c:pt>
                <c:pt idx="65">
                  <c:v>80000</c:v>
                </c:pt>
                <c:pt idx="66">
                  <c:v>80000</c:v>
                </c:pt>
                <c:pt idx="67">
                  <c:v>80000</c:v>
                </c:pt>
                <c:pt idx="68">
                  <c:v>80000</c:v>
                </c:pt>
                <c:pt idx="69">
                  <c:v>80000</c:v>
                </c:pt>
                <c:pt idx="70">
                  <c:v>80000</c:v>
                </c:pt>
                <c:pt idx="71">
                  <c:v>80000</c:v>
                </c:pt>
                <c:pt idx="72">
                  <c:v>80000</c:v>
                </c:pt>
                <c:pt idx="73">
                  <c:v>80000</c:v>
                </c:pt>
                <c:pt idx="74">
                  <c:v>80000</c:v>
                </c:pt>
                <c:pt idx="75">
                  <c:v>80000</c:v>
                </c:pt>
                <c:pt idx="76">
                  <c:v>80000</c:v>
                </c:pt>
                <c:pt idx="77">
                  <c:v>80000</c:v>
                </c:pt>
                <c:pt idx="78">
                  <c:v>80000</c:v>
                </c:pt>
                <c:pt idx="79">
                  <c:v>80000</c:v>
                </c:pt>
                <c:pt idx="80">
                  <c:v>80000</c:v>
                </c:pt>
                <c:pt idx="81">
                  <c:v>80000</c:v>
                </c:pt>
                <c:pt idx="82">
                  <c:v>80000</c:v>
                </c:pt>
                <c:pt idx="83">
                  <c:v>80000</c:v>
                </c:pt>
                <c:pt idx="84">
                  <c:v>80000</c:v>
                </c:pt>
                <c:pt idx="85">
                  <c:v>80000</c:v>
                </c:pt>
                <c:pt idx="86">
                  <c:v>80000</c:v>
                </c:pt>
                <c:pt idx="87">
                  <c:v>80000</c:v>
                </c:pt>
                <c:pt idx="88">
                  <c:v>80000</c:v>
                </c:pt>
                <c:pt idx="89">
                  <c:v>80000</c:v>
                </c:pt>
                <c:pt idx="90">
                  <c:v>80000</c:v>
                </c:pt>
                <c:pt idx="91">
                  <c:v>80000</c:v>
                </c:pt>
                <c:pt idx="92">
                  <c:v>80000</c:v>
                </c:pt>
                <c:pt idx="93">
                  <c:v>80000</c:v>
                </c:pt>
                <c:pt idx="94">
                  <c:v>80000</c:v>
                </c:pt>
                <c:pt idx="95">
                  <c:v>80000</c:v>
                </c:pt>
                <c:pt idx="96">
                  <c:v>80000</c:v>
                </c:pt>
                <c:pt idx="97">
                  <c:v>80000</c:v>
                </c:pt>
                <c:pt idx="98">
                  <c:v>80000</c:v>
                </c:pt>
                <c:pt idx="99">
                  <c:v>80000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2CA-42ED-B2FB-C6D2CC2EE479}"/>
            </c:ext>
          </c:extLst>
        </c:ser>
        <c:ser>
          <c:idx val="2"/>
          <c:order val="2"/>
          <c:tx>
            <c:v>Breach point</c:v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'Credit Monitor'!$AA$4:$AA$5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xVal>
          <c:yVal>
            <c:numRef>
              <c:f>'Credit Monitor'!$AB$4:$AB$5</c:f>
              <c:numCache>
                <c:formatCode>General</c:formatCode>
                <c:ptCount val="2"/>
                <c:pt idx="0">
                  <c:v>0</c:v>
                </c:pt>
                <c:pt idx="1">
                  <c:v>107528.8827101479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2CA-42ED-B2FB-C6D2CC2EE4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8147664"/>
        <c:axId val="588148024"/>
      </c:scatterChart>
      <c:valAx>
        <c:axId val="588147664"/>
        <c:scaling>
          <c:orientation val="minMax"/>
        </c:scaling>
        <c:delete val="0"/>
        <c:axPos val="b"/>
        <c:numFmt formatCode="#,##0;[Red]\(#,##0\);\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148024"/>
        <c:crosses val="autoZero"/>
        <c:crossBetween val="midCat"/>
      </c:valAx>
      <c:valAx>
        <c:axId val="588148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;[Red]\(#,##0.0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147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705116</xdr:colOff>
      <xdr:row>1</xdr:row>
      <xdr:rowOff>1</xdr:rowOff>
    </xdr:from>
    <xdr:to>
      <xdr:col>9</xdr:col>
      <xdr:colOff>0</xdr:colOff>
      <xdr:row>9</xdr:row>
      <xdr:rowOff>307550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83FD40B-8760-16B8-132B-FCE6448742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01"/>
  <sheetViews>
    <sheetView tabSelected="1" zoomScale="115" zoomScaleNormal="115" workbookViewId="0">
      <selection activeCell="B7" sqref="B7"/>
    </sheetView>
  </sheetViews>
  <sheetFormatPr defaultRowHeight="14.3"/>
  <cols>
    <col min="1" max="1" width="10" style="1" customWidth="1"/>
    <col min="2" max="4" width="18" style="1" customWidth="1"/>
    <col min="5" max="5" width="19" style="1" customWidth="1"/>
    <col min="6" max="6" width="20" style="1" customWidth="1"/>
    <col min="7" max="7" width="21" style="1" customWidth="1"/>
    <col min="8" max="9" width="16" style="1" customWidth="1"/>
    <col min="10" max="10" width="8.88671875" style="1"/>
    <col min="11" max="13" width="16" style="1" customWidth="1"/>
    <col min="14" max="23" width="8.88671875" style="1"/>
    <col min="24" max="24" width="9" style="1" bestFit="1" customWidth="1"/>
    <col min="25" max="25" width="11" style="1" bestFit="1" customWidth="1"/>
    <col min="26" max="26" width="11.77734375" style="1" bestFit="1" customWidth="1"/>
    <col min="27" max="16384" width="8.88671875" style="1"/>
  </cols>
  <sheetData>
    <row r="1" spans="1:28" ht="21.7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AA1" s="1">
        <f>MATCH(1,INDEX(--(Y13:Y300&gt;Z13:Z300),0),0)</f>
        <v>2</v>
      </c>
    </row>
    <row r="2" spans="1:28" ht="29.05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AA2" s="1">
        <f>IFERROR(INDEX(X13:X300,AA1),NA())</f>
        <v>1</v>
      </c>
    </row>
    <row r="3" spans="1:28">
      <c r="A3" s="22" t="s">
        <v>2</v>
      </c>
      <c r="B3" s="22"/>
      <c r="C3" s="5"/>
      <c r="D3" s="22" t="s">
        <v>3</v>
      </c>
      <c r="E3" s="22"/>
      <c r="F3" s="5"/>
      <c r="G3" s="5"/>
      <c r="H3" s="5"/>
      <c r="I3" s="5"/>
    </row>
    <row r="4" spans="1:28" ht="28.55">
      <c r="A4" s="6" t="s">
        <v>4</v>
      </c>
      <c r="B4" s="13">
        <v>80000</v>
      </c>
      <c r="C4" s="5"/>
      <c r="D4" s="6" t="s">
        <v>5</v>
      </c>
      <c r="E4" s="10">
        <f>IFERROR($B$4/$B$5,0)</f>
        <v>0.16</v>
      </c>
      <c r="F4" s="5"/>
      <c r="G4" s="5"/>
      <c r="H4" s="5"/>
      <c r="I4" s="5"/>
      <c r="AA4" s="1">
        <f>AA2</f>
        <v>1</v>
      </c>
      <c r="AB4" s="1">
        <f>0</f>
        <v>0</v>
      </c>
    </row>
    <row r="5" spans="1:28" ht="28.55">
      <c r="A5" s="6" t="s">
        <v>6</v>
      </c>
      <c r="B5" s="13">
        <v>500000</v>
      </c>
      <c r="C5" s="5"/>
      <c r="D5" s="6" t="s">
        <v>7</v>
      </c>
      <c r="E5" s="19">
        <f>$B$7/12</f>
        <v>2.9916666666666668E-3</v>
      </c>
      <c r="F5" s="5"/>
      <c r="G5" s="5"/>
      <c r="H5" s="5"/>
      <c r="I5" s="5"/>
      <c r="AA5" s="1">
        <f>AA2</f>
        <v>1</v>
      </c>
      <c r="AB5" s="1">
        <f>MAX($D$13:INDEX($D:$D,12+$B$9),$F$13:INDEX($F:$F,12+$B$9))</f>
        <v>107528.8827101479</v>
      </c>
    </row>
    <row r="6" spans="1:28" ht="28.55">
      <c r="A6" s="6" t="s">
        <v>8</v>
      </c>
      <c r="B6" s="13">
        <v>80000</v>
      </c>
      <c r="C6" s="5"/>
      <c r="D6" s="6" t="s">
        <v>9</v>
      </c>
      <c r="E6" s="11">
        <f>MAX(0,$B$4-$B$6,$B$4-($B$8*$B$5))</f>
        <v>0</v>
      </c>
      <c r="F6" s="5"/>
      <c r="G6" s="5"/>
      <c r="H6" s="5"/>
      <c r="I6" s="5"/>
    </row>
    <row r="7" spans="1:28" ht="42.8">
      <c r="A7" s="6" t="s">
        <v>10</v>
      </c>
      <c r="B7" s="14">
        <v>3.5900000000000001E-2</v>
      </c>
      <c r="C7" s="5"/>
      <c r="D7" s="6" t="s">
        <v>11</v>
      </c>
      <c r="E7" s="11">
        <f>MIN($B$6,$B$8*$B$5)</f>
        <v>80000</v>
      </c>
      <c r="F7" s="5"/>
      <c r="G7" s="5"/>
      <c r="H7" s="5"/>
      <c r="I7" s="5"/>
    </row>
    <row r="8" spans="1:28" ht="28.55">
      <c r="A8" s="6" t="s">
        <v>12</v>
      </c>
      <c r="B8" s="14">
        <v>0.8</v>
      </c>
      <c r="C8" s="5"/>
      <c r="D8" s="6" t="s">
        <v>13</v>
      </c>
      <c r="E8" s="11">
        <f>E7-$B$4</f>
        <v>0</v>
      </c>
      <c r="F8" s="5"/>
      <c r="G8" s="5"/>
      <c r="H8" s="5"/>
      <c r="I8" s="5"/>
    </row>
    <row r="9" spans="1:28" ht="28.55">
      <c r="A9" s="6" t="s">
        <v>14</v>
      </c>
      <c r="B9" s="15">
        <v>100</v>
      </c>
      <c r="C9" s="5"/>
      <c r="D9" s="6" t="s">
        <v>15</v>
      </c>
      <c r="E9" s="11">
        <f>$B$4*(1+$B$7/12)^$B$9</f>
        <v>107850.57328425668</v>
      </c>
      <c r="F9" s="5"/>
      <c r="G9" s="5"/>
      <c r="H9" s="5"/>
      <c r="I9" s="5"/>
    </row>
    <row r="10" spans="1:28" ht="28.55">
      <c r="A10" s="5"/>
      <c r="B10" s="5"/>
      <c r="C10" s="5"/>
      <c r="D10" s="6" t="s">
        <v>16</v>
      </c>
      <c r="E10" s="11">
        <f>MAX(0,E9-$B$6,E9-($B$8*$B$5))</f>
        <v>27850.573284256679</v>
      </c>
      <c r="F10" s="5"/>
      <c r="G10" s="5"/>
      <c r="H10" s="5"/>
      <c r="I10" s="5"/>
    </row>
    <row r="11" spans="1:28">
      <c r="A11" s="22" t="s">
        <v>17</v>
      </c>
      <c r="B11" s="22"/>
      <c r="C11" s="22"/>
      <c r="D11" s="22"/>
      <c r="E11" s="22"/>
      <c r="F11" s="22"/>
      <c r="G11" s="22"/>
      <c r="H11" s="22"/>
      <c r="I11" s="22"/>
      <c r="K11" s="16"/>
      <c r="L11" s="16"/>
      <c r="M11" s="16"/>
      <c r="X11" s="2" t="s">
        <v>18</v>
      </c>
      <c r="Y11" s="2" t="s">
        <v>19</v>
      </c>
      <c r="Z11" s="2" t="s">
        <v>20</v>
      </c>
    </row>
    <row r="12" spans="1:28" ht="28.55">
      <c r="A12" s="12" t="s">
        <v>18</v>
      </c>
      <c r="B12" s="12" t="s">
        <v>21</v>
      </c>
      <c r="C12" s="12" t="s">
        <v>22</v>
      </c>
      <c r="D12" s="12" t="s">
        <v>23</v>
      </c>
      <c r="E12" s="12" t="s">
        <v>24</v>
      </c>
      <c r="F12" s="12" t="s">
        <v>11</v>
      </c>
      <c r="G12" s="12" t="s">
        <v>25</v>
      </c>
      <c r="H12" s="12" t="s">
        <v>26</v>
      </c>
      <c r="I12" s="12" t="s">
        <v>27</v>
      </c>
    </row>
    <row r="13" spans="1:28">
      <c r="A13" s="7">
        <f>IF(ROW()-12&lt;=$B$9,ROW()-13,NA())</f>
        <v>0</v>
      </c>
      <c r="B13" s="8">
        <f>IF(ISNUMBER($A13),$B$4,NA())</f>
        <v>80000</v>
      </c>
      <c r="C13" s="8">
        <f>IF(ISNUMBER($A13),0,NA())</f>
        <v>0</v>
      </c>
      <c r="D13" s="8">
        <f>IF(ISNUMBER($A13),B13+C13,NA())</f>
        <v>80000</v>
      </c>
      <c r="E13" s="8">
        <f t="shared" ref="E13:E76" si="0">IF(ISNUMBER($A13),$B$8*$B$5,NA())</f>
        <v>400000</v>
      </c>
      <c r="F13" s="8">
        <f>IF(ISNUMBER($A13),MIN($B$6,E13),NA())</f>
        <v>80000</v>
      </c>
      <c r="G13" s="8">
        <f t="shared" ref="G13:G76" si="1">IF(ISNUMBER($A13),MAX(0,D13-F13),NA())</f>
        <v>0</v>
      </c>
      <c r="H13" s="8">
        <f t="shared" ref="H13:H76" si="2">IF(ISNUMBER($A13),F13-D13,NA())</f>
        <v>0</v>
      </c>
      <c r="I13" s="9" t="str">
        <f t="shared" ref="I13:I76" si="3">IF(ISNUMBER($A13),IF(G13&gt;0,"Deposit / sell","OK"),NA())</f>
        <v>OK</v>
      </c>
      <c r="K13" s="3"/>
      <c r="L13" s="4"/>
      <c r="M13" s="4"/>
      <c r="X13" s="3">
        <f>IF(ISNUMBER($A13),$A13,NA())</f>
        <v>0</v>
      </c>
      <c r="Y13" s="4">
        <f>IF(ISNUMBER($A13),$D13,NA())</f>
        <v>80000</v>
      </c>
      <c r="Z13" s="4">
        <f>IF(ISNUMBER($A13),$F13,NA())</f>
        <v>80000</v>
      </c>
    </row>
    <row r="14" spans="1:28">
      <c r="A14" s="7">
        <f t="shared" ref="A14:A77" si="4">IF(ROW()-12&lt;=$B$9,ROW()-13,NA())</f>
        <v>1</v>
      </c>
      <c r="B14" s="8">
        <f t="shared" ref="B14:B77" si="5">IF(ISNUMBER($A14),D13,NA())</f>
        <v>80000</v>
      </c>
      <c r="C14" s="8">
        <f t="shared" ref="C14:C77" si="6">IF(ISNUMBER($A14),B14*($B$7/12),NA())</f>
        <v>239.33333333333334</v>
      </c>
      <c r="D14" s="8">
        <f t="shared" ref="D14:D77" si="7">IF(ISNUMBER($A14),B14+C14,NA())</f>
        <v>80239.333333333328</v>
      </c>
      <c r="E14" s="8">
        <f t="shared" si="0"/>
        <v>400000</v>
      </c>
      <c r="F14" s="8">
        <f t="shared" ref="F14:F77" si="8">IF(ISNUMBER($A14),MIN($B$6,E14),NA())</f>
        <v>80000</v>
      </c>
      <c r="G14" s="8">
        <f t="shared" si="1"/>
        <v>239.33333333332848</v>
      </c>
      <c r="H14" s="8">
        <f t="shared" si="2"/>
        <v>-239.33333333332848</v>
      </c>
      <c r="I14" s="9" t="str">
        <f t="shared" si="3"/>
        <v>Deposit / sell</v>
      </c>
      <c r="K14" s="3"/>
      <c r="L14" s="4"/>
      <c r="M14" s="4"/>
      <c r="X14" s="3">
        <f t="shared" ref="X14:X77" si="9">IF(ISNUMBER($A14),$A14,NA())</f>
        <v>1</v>
      </c>
      <c r="Y14" s="4">
        <f t="shared" ref="Y14:Y77" si="10">IF(ISNUMBER($A14),$D14,NA())</f>
        <v>80239.333333333328</v>
      </c>
      <c r="Z14" s="4">
        <f t="shared" ref="Z14:Z77" si="11">IF(ISNUMBER($A14),$F14,NA())</f>
        <v>80000</v>
      </c>
    </row>
    <row r="15" spans="1:28">
      <c r="A15" s="7">
        <f t="shared" si="4"/>
        <v>2</v>
      </c>
      <c r="B15" s="8">
        <f t="shared" si="5"/>
        <v>80239.333333333328</v>
      </c>
      <c r="C15" s="8">
        <f t="shared" si="6"/>
        <v>240.04933888888888</v>
      </c>
      <c r="D15" s="8">
        <f t="shared" si="7"/>
        <v>80479.382672222215</v>
      </c>
      <c r="E15" s="8">
        <f t="shared" si="0"/>
        <v>400000</v>
      </c>
      <c r="F15" s="8">
        <f t="shared" si="8"/>
        <v>80000</v>
      </c>
      <c r="G15" s="8">
        <f t="shared" si="1"/>
        <v>479.38267222221475</v>
      </c>
      <c r="H15" s="8">
        <f t="shared" si="2"/>
        <v>-479.38267222221475</v>
      </c>
      <c r="I15" s="9" t="str">
        <f t="shared" si="3"/>
        <v>Deposit / sell</v>
      </c>
      <c r="K15" s="3"/>
      <c r="L15" s="4"/>
      <c r="M15" s="4"/>
      <c r="X15" s="3">
        <f t="shared" si="9"/>
        <v>2</v>
      </c>
      <c r="Y15" s="4">
        <f t="shared" si="10"/>
        <v>80479.382672222215</v>
      </c>
      <c r="Z15" s="4">
        <f t="shared" si="11"/>
        <v>80000</v>
      </c>
    </row>
    <row r="16" spans="1:28">
      <c r="A16" s="7">
        <f t="shared" si="4"/>
        <v>3</v>
      </c>
      <c r="B16" s="8">
        <f t="shared" si="5"/>
        <v>80479.382672222215</v>
      </c>
      <c r="C16" s="8">
        <f t="shared" si="6"/>
        <v>240.76748649439813</v>
      </c>
      <c r="D16" s="8">
        <f t="shared" si="7"/>
        <v>80720.150158716613</v>
      </c>
      <c r="E16" s="8">
        <f t="shared" si="0"/>
        <v>400000</v>
      </c>
      <c r="F16" s="8">
        <f t="shared" si="8"/>
        <v>80000</v>
      </c>
      <c r="G16" s="8">
        <f t="shared" si="1"/>
        <v>720.15015871661308</v>
      </c>
      <c r="H16" s="8">
        <f t="shared" si="2"/>
        <v>-720.15015871661308</v>
      </c>
      <c r="I16" s="9" t="str">
        <f t="shared" si="3"/>
        <v>Deposit / sell</v>
      </c>
      <c r="K16" s="3"/>
      <c r="L16" s="4"/>
      <c r="M16" s="4"/>
      <c r="X16" s="3">
        <f t="shared" si="9"/>
        <v>3</v>
      </c>
      <c r="Y16" s="4">
        <f t="shared" si="10"/>
        <v>80720.150158716613</v>
      </c>
      <c r="Z16" s="4">
        <f t="shared" si="11"/>
        <v>80000</v>
      </c>
    </row>
    <row r="17" spans="1:26">
      <c r="A17" s="7">
        <f t="shared" si="4"/>
        <v>4</v>
      </c>
      <c r="B17" s="8">
        <f t="shared" si="5"/>
        <v>80720.150158716613</v>
      </c>
      <c r="C17" s="8">
        <f t="shared" si="6"/>
        <v>241.48778255816055</v>
      </c>
      <c r="D17" s="8">
        <f t="shared" si="7"/>
        <v>80961.637941274777</v>
      </c>
      <c r="E17" s="8">
        <f t="shared" si="0"/>
        <v>400000</v>
      </c>
      <c r="F17" s="8">
        <f t="shared" si="8"/>
        <v>80000</v>
      </c>
      <c r="G17" s="8">
        <f t="shared" si="1"/>
        <v>961.6379412747774</v>
      </c>
      <c r="H17" s="8">
        <f t="shared" si="2"/>
        <v>-961.6379412747774</v>
      </c>
      <c r="I17" s="9" t="str">
        <f t="shared" si="3"/>
        <v>Deposit / sell</v>
      </c>
      <c r="K17" s="3"/>
      <c r="L17" s="4"/>
      <c r="M17" s="4"/>
      <c r="X17" s="3">
        <f t="shared" si="9"/>
        <v>4</v>
      </c>
      <c r="Y17" s="4">
        <f t="shared" si="10"/>
        <v>80961.637941274777</v>
      </c>
      <c r="Z17" s="4">
        <f t="shared" si="11"/>
        <v>80000</v>
      </c>
    </row>
    <row r="18" spans="1:26">
      <c r="A18" s="7">
        <f t="shared" si="4"/>
        <v>5</v>
      </c>
      <c r="B18" s="8">
        <f t="shared" si="5"/>
        <v>80961.637941274777</v>
      </c>
      <c r="C18" s="8">
        <f t="shared" si="6"/>
        <v>242.21023350764705</v>
      </c>
      <c r="D18" s="8">
        <f t="shared" si="7"/>
        <v>81203.848174782426</v>
      </c>
      <c r="E18" s="8">
        <f t="shared" si="0"/>
        <v>400000</v>
      </c>
      <c r="F18" s="8">
        <f t="shared" si="8"/>
        <v>80000</v>
      </c>
      <c r="G18" s="8">
        <f t="shared" si="1"/>
        <v>1203.8481747824262</v>
      </c>
      <c r="H18" s="8">
        <f t="shared" si="2"/>
        <v>-1203.8481747824262</v>
      </c>
      <c r="I18" s="9" t="str">
        <f t="shared" si="3"/>
        <v>Deposit / sell</v>
      </c>
      <c r="K18" s="3"/>
      <c r="L18" s="4"/>
      <c r="M18" s="4"/>
      <c r="X18" s="3">
        <f t="shared" si="9"/>
        <v>5</v>
      </c>
      <c r="Y18" s="4">
        <f t="shared" si="10"/>
        <v>81203.848174782426</v>
      </c>
      <c r="Z18" s="4">
        <f t="shared" si="11"/>
        <v>80000</v>
      </c>
    </row>
    <row r="19" spans="1:26">
      <c r="A19" s="7">
        <f t="shared" si="4"/>
        <v>6</v>
      </c>
      <c r="B19" s="8">
        <f t="shared" si="5"/>
        <v>81203.848174782426</v>
      </c>
      <c r="C19" s="8">
        <f t="shared" si="6"/>
        <v>242.93484578955744</v>
      </c>
      <c r="D19" s="8">
        <f t="shared" si="7"/>
        <v>81446.78302057198</v>
      </c>
      <c r="E19" s="8">
        <f t="shared" si="0"/>
        <v>400000</v>
      </c>
      <c r="F19" s="8">
        <f t="shared" si="8"/>
        <v>80000</v>
      </c>
      <c r="G19" s="8">
        <f t="shared" si="1"/>
        <v>1446.7830205719802</v>
      </c>
      <c r="H19" s="8">
        <f t="shared" si="2"/>
        <v>-1446.7830205719802</v>
      </c>
      <c r="I19" s="9" t="str">
        <f t="shared" si="3"/>
        <v>Deposit / sell</v>
      </c>
      <c r="K19" s="3"/>
      <c r="L19" s="4"/>
      <c r="M19" s="4"/>
      <c r="X19" s="3">
        <f t="shared" si="9"/>
        <v>6</v>
      </c>
      <c r="Y19" s="4">
        <f t="shared" si="10"/>
        <v>81446.78302057198</v>
      </c>
      <c r="Z19" s="4">
        <f t="shared" si="11"/>
        <v>80000</v>
      </c>
    </row>
    <row r="20" spans="1:26">
      <c r="A20" s="7">
        <f t="shared" si="4"/>
        <v>7</v>
      </c>
      <c r="B20" s="8">
        <f t="shared" si="5"/>
        <v>81446.78302057198</v>
      </c>
      <c r="C20" s="8">
        <f t="shared" si="6"/>
        <v>243.66162586987784</v>
      </c>
      <c r="D20" s="8">
        <f t="shared" si="7"/>
        <v>81690.444646441858</v>
      </c>
      <c r="E20" s="8">
        <f t="shared" si="0"/>
        <v>400000</v>
      </c>
      <c r="F20" s="8">
        <f t="shared" si="8"/>
        <v>80000</v>
      </c>
      <c r="G20" s="8">
        <f t="shared" si="1"/>
        <v>1690.4446464418579</v>
      </c>
      <c r="H20" s="8">
        <f t="shared" si="2"/>
        <v>-1690.4446464418579</v>
      </c>
      <c r="I20" s="9" t="str">
        <f t="shared" si="3"/>
        <v>Deposit / sell</v>
      </c>
      <c r="K20" s="3"/>
      <c r="L20" s="4"/>
      <c r="M20" s="4"/>
      <c r="X20" s="3">
        <f t="shared" si="9"/>
        <v>7</v>
      </c>
      <c r="Y20" s="4">
        <f t="shared" si="10"/>
        <v>81690.444646441858</v>
      </c>
      <c r="Z20" s="4">
        <f t="shared" si="11"/>
        <v>80000</v>
      </c>
    </row>
    <row r="21" spans="1:26">
      <c r="A21" s="7">
        <f t="shared" si="4"/>
        <v>8</v>
      </c>
      <c r="B21" s="8">
        <f t="shared" si="5"/>
        <v>81690.444646441858</v>
      </c>
      <c r="C21" s="8">
        <f t="shared" si="6"/>
        <v>244.39058023393858</v>
      </c>
      <c r="D21" s="8">
        <f t="shared" si="7"/>
        <v>81934.835226675801</v>
      </c>
      <c r="E21" s="8">
        <f t="shared" si="0"/>
        <v>400000</v>
      </c>
      <c r="F21" s="8">
        <f t="shared" si="8"/>
        <v>80000</v>
      </c>
      <c r="G21" s="8">
        <f t="shared" si="1"/>
        <v>1934.8352266758011</v>
      </c>
      <c r="H21" s="8">
        <f t="shared" si="2"/>
        <v>-1934.8352266758011</v>
      </c>
      <c r="I21" s="9" t="str">
        <f t="shared" si="3"/>
        <v>Deposit / sell</v>
      </c>
      <c r="K21" s="3"/>
      <c r="L21" s="4"/>
      <c r="M21" s="4"/>
      <c r="X21" s="3">
        <f t="shared" si="9"/>
        <v>8</v>
      </c>
      <c r="Y21" s="4">
        <f t="shared" si="10"/>
        <v>81934.835226675801</v>
      </c>
      <c r="Z21" s="4">
        <f t="shared" si="11"/>
        <v>80000</v>
      </c>
    </row>
    <row r="22" spans="1:26">
      <c r="A22" s="7">
        <f t="shared" si="4"/>
        <v>9</v>
      </c>
      <c r="B22" s="8">
        <f t="shared" si="5"/>
        <v>81934.835226675801</v>
      </c>
      <c r="C22" s="8">
        <f t="shared" si="6"/>
        <v>245.12171538647178</v>
      </c>
      <c r="D22" s="8">
        <f t="shared" si="7"/>
        <v>82179.956942062272</v>
      </c>
      <c r="E22" s="8">
        <f t="shared" si="0"/>
        <v>400000</v>
      </c>
      <c r="F22" s="8">
        <f t="shared" si="8"/>
        <v>80000</v>
      </c>
      <c r="G22" s="8">
        <f t="shared" si="1"/>
        <v>2179.956942062272</v>
      </c>
      <c r="H22" s="8">
        <f t="shared" si="2"/>
        <v>-2179.956942062272</v>
      </c>
      <c r="I22" s="9" t="str">
        <f t="shared" si="3"/>
        <v>Deposit / sell</v>
      </c>
      <c r="K22" s="3"/>
      <c r="L22" s="4"/>
      <c r="M22" s="4"/>
      <c r="X22" s="3">
        <f t="shared" si="9"/>
        <v>9</v>
      </c>
      <c r="Y22" s="4">
        <f t="shared" si="10"/>
        <v>82179.956942062272</v>
      </c>
      <c r="Z22" s="4">
        <f t="shared" si="11"/>
        <v>80000</v>
      </c>
    </row>
    <row r="23" spans="1:26">
      <c r="A23" s="7">
        <f t="shared" si="4"/>
        <v>10</v>
      </c>
      <c r="B23" s="8">
        <f t="shared" si="5"/>
        <v>82179.956942062272</v>
      </c>
      <c r="C23" s="8">
        <f t="shared" si="6"/>
        <v>245.85503785166964</v>
      </c>
      <c r="D23" s="8">
        <f t="shared" si="7"/>
        <v>82425.811979913939</v>
      </c>
      <c r="E23" s="8">
        <f t="shared" si="0"/>
        <v>400000</v>
      </c>
      <c r="F23" s="8">
        <f t="shared" si="8"/>
        <v>80000</v>
      </c>
      <c r="G23" s="8">
        <f t="shared" si="1"/>
        <v>2425.8119799139386</v>
      </c>
      <c r="H23" s="8">
        <f t="shared" si="2"/>
        <v>-2425.8119799139386</v>
      </c>
      <c r="I23" s="9" t="str">
        <f t="shared" si="3"/>
        <v>Deposit / sell</v>
      </c>
      <c r="K23" s="3"/>
      <c r="L23" s="4"/>
      <c r="M23" s="4"/>
      <c r="X23" s="3">
        <f t="shared" si="9"/>
        <v>10</v>
      </c>
      <c r="Y23" s="4">
        <f t="shared" si="10"/>
        <v>82425.811979913939</v>
      </c>
      <c r="Z23" s="4">
        <f t="shared" si="11"/>
        <v>80000</v>
      </c>
    </row>
    <row r="24" spans="1:26">
      <c r="A24" s="7">
        <f t="shared" si="4"/>
        <v>11</v>
      </c>
      <c r="B24" s="8">
        <f t="shared" si="5"/>
        <v>82425.811979913939</v>
      </c>
      <c r="C24" s="8">
        <f t="shared" si="6"/>
        <v>246.59055417324254</v>
      </c>
      <c r="D24" s="8">
        <f t="shared" si="7"/>
        <v>82672.402534087174</v>
      </c>
      <c r="E24" s="8">
        <f t="shared" si="0"/>
        <v>400000</v>
      </c>
      <c r="F24" s="8">
        <f t="shared" si="8"/>
        <v>80000</v>
      </c>
      <c r="G24" s="8">
        <f t="shared" si="1"/>
        <v>2672.402534087174</v>
      </c>
      <c r="H24" s="8">
        <f t="shared" si="2"/>
        <v>-2672.402534087174</v>
      </c>
      <c r="I24" s="9" t="str">
        <f t="shared" si="3"/>
        <v>Deposit / sell</v>
      </c>
      <c r="K24" s="3"/>
      <c r="L24" s="4"/>
      <c r="M24" s="4"/>
      <c r="X24" s="3">
        <f t="shared" si="9"/>
        <v>11</v>
      </c>
      <c r="Y24" s="4">
        <f t="shared" si="10"/>
        <v>82672.402534087174</v>
      </c>
      <c r="Z24" s="4">
        <f t="shared" si="11"/>
        <v>80000</v>
      </c>
    </row>
    <row r="25" spans="1:26">
      <c r="A25" s="7">
        <f t="shared" si="4"/>
        <v>12</v>
      </c>
      <c r="B25" s="8">
        <f t="shared" si="5"/>
        <v>82672.402534087174</v>
      </c>
      <c r="C25" s="8">
        <f t="shared" si="6"/>
        <v>247.32827091447749</v>
      </c>
      <c r="D25" s="8">
        <f t="shared" si="7"/>
        <v>82919.730805001658</v>
      </c>
      <c r="E25" s="8">
        <f t="shared" si="0"/>
        <v>400000</v>
      </c>
      <c r="F25" s="8">
        <f t="shared" si="8"/>
        <v>80000</v>
      </c>
      <c r="G25" s="8">
        <f t="shared" si="1"/>
        <v>2919.7308050016582</v>
      </c>
      <c r="H25" s="8">
        <f t="shared" si="2"/>
        <v>-2919.7308050016582</v>
      </c>
      <c r="I25" s="9" t="str">
        <f t="shared" si="3"/>
        <v>Deposit / sell</v>
      </c>
      <c r="K25" s="3"/>
      <c r="L25" s="4"/>
      <c r="M25" s="4"/>
      <c r="X25" s="3">
        <f t="shared" si="9"/>
        <v>12</v>
      </c>
      <c r="Y25" s="4">
        <f t="shared" si="10"/>
        <v>82919.730805001658</v>
      </c>
      <c r="Z25" s="4">
        <f t="shared" si="11"/>
        <v>80000</v>
      </c>
    </row>
    <row r="26" spans="1:26">
      <c r="A26" s="7">
        <f t="shared" si="4"/>
        <v>13</v>
      </c>
      <c r="B26" s="8">
        <f t="shared" si="5"/>
        <v>82919.730805001658</v>
      </c>
      <c r="C26" s="8">
        <f t="shared" si="6"/>
        <v>248.06819465829665</v>
      </c>
      <c r="D26" s="8">
        <f t="shared" si="7"/>
        <v>83167.79899965995</v>
      </c>
      <c r="E26" s="8">
        <f t="shared" si="0"/>
        <v>400000</v>
      </c>
      <c r="F26" s="8">
        <f t="shared" si="8"/>
        <v>80000</v>
      </c>
      <c r="G26" s="8">
        <f t="shared" si="1"/>
        <v>3167.7989996599499</v>
      </c>
      <c r="H26" s="8">
        <f t="shared" si="2"/>
        <v>-3167.7989996599499</v>
      </c>
      <c r="I26" s="9" t="str">
        <f t="shared" si="3"/>
        <v>Deposit / sell</v>
      </c>
      <c r="K26" s="3"/>
      <c r="L26" s="4"/>
      <c r="M26" s="4"/>
      <c r="X26" s="3">
        <f t="shared" si="9"/>
        <v>13</v>
      </c>
      <c r="Y26" s="4">
        <f t="shared" si="10"/>
        <v>83167.79899965995</v>
      </c>
      <c r="Z26" s="4">
        <f t="shared" si="11"/>
        <v>80000</v>
      </c>
    </row>
    <row r="27" spans="1:26">
      <c r="A27" s="7">
        <f t="shared" si="4"/>
        <v>14</v>
      </c>
      <c r="B27" s="8">
        <f t="shared" si="5"/>
        <v>83167.79899965995</v>
      </c>
      <c r="C27" s="8">
        <f t="shared" si="6"/>
        <v>248.81033200731602</v>
      </c>
      <c r="D27" s="8">
        <f t="shared" si="7"/>
        <v>83416.609331667263</v>
      </c>
      <c r="E27" s="8">
        <f t="shared" si="0"/>
        <v>400000</v>
      </c>
      <c r="F27" s="8">
        <f t="shared" si="8"/>
        <v>80000</v>
      </c>
      <c r="G27" s="8">
        <f t="shared" si="1"/>
        <v>3416.6093316672632</v>
      </c>
      <c r="H27" s="8">
        <f t="shared" si="2"/>
        <v>-3416.6093316672632</v>
      </c>
      <c r="I27" s="9" t="str">
        <f t="shared" si="3"/>
        <v>Deposit / sell</v>
      </c>
      <c r="K27" s="3"/>
      <c r="L27" s="4"/>
      <c r="M27" s="4"/>
      <c r="X27" s="3">
        <f t="shared" si="9"/>
        <v>14</v>
      </c>
      <c r="Y27" s="4">
        <f t="shared" si="10"/>
        <v>83416.609331667263</v>
      </c>
      <c r="Z27" s="4">
        <f t="shared" si="11"/>
        <v>80000</v>
      </c>
    </row>
    <row r="28" spans="1:26">
      <c r="A28" s="7">
        <f t="shared" si="4"/>
        <v>15</v>
      </c>
      <c r="B28" s="8">
        <f t="shared" si="5"/>
        <v>83416.609331667263</v>
      </c>
      <c r="C28" s="8">
        <f t="shared" si="6"/>
        <v>249.55468958390458</v>
      </c>
      <c r="D28" s="8">
        <f t="shared" si="7"/>
        <v>83666.16402125117</v>
      </c>
      <c r="E28" s="8">
        <f t="shared" si="0"/>
        <v>400000</v>
      </c>
      <c r="F28" s="8">
        <f t="shared" si="8"/>
        <v>80000</v>
      </c>
      <c r="G28" s="8">
        <f t="shared" si="1"/>
        <v>3666.1640212511702</v>
      </c>
      <c r="H28" s="8">
        <f t="shared" si="2"/>
        <v>-3666.1640212511702</v>
      </c>
      <c r="I28" s="9" t="str">
        <f t="shared" si="3"/>
        <v>Deposit / sell</v>
      </c>
      <c r="K28" s="3"/>
      <c r="L28" s="4"/>
      <c r="M28" s="4"/>
      <c r="X28" s="3">
        <f t="shared" si="9"/>
        <v>15</v>
      </c>
      <c r="Y28" s="4">
        <f t="shared" si="10"/>
        <v>83666.16402125117</v>
      </c>
      <c r="Z28" s="4">
        <f t="shared" si="11"/>
        <v>80000</v>
      </c>
    </row>
    <row r="29" spans="1:26">
      <c r="A29" s="7">
        <f t="shared" si="4"/>
        <v>16</v>
      </c>
      <c r="B29" s="8">
        <f t="shared" si="5"/>
        <v>83666.16402125117</v>
      </c>
      <c r="C29" s="8">
        <f t="shared" si="6"/>
        <v>250.30127403024309</v>
      </c>
      <c r="D29" s="8">
        <f t="shared" si="7"/>
        <v>83916.465295281407</v>
      </c>
      <c r="E29" s="8">
        <f t="shared" si="0"/>
        <v>400000</v>
      </c>
      <c r="F29" s="8">
        <f t="shared" si="8"/>
        <v>80000</v>
      </c>
      <c r="G29" s="8">
        <f t="shared" si="1"/>
        <v>3916.4652952814067</v>
      </c>
      <c r="H29" s="8">
        <f t="shared" si="2"/>
        <v>-3916.4652952814067</v>
      </c>
      <c r="I29" s="9" t="str">
        <f t="shared" si="3"/>
        <v>Deposit / sell</v>
      </c>
      <c r="K29" s="3"/>
      <c r="L29" s="4"/>
      <c r="M29" s="4"/>
      <c r="X29" s="3">
        <f t="shared" si="9"/>
        <v>16</v>
      </c>
      <c r="Y29" s="4">
        <f t="shared" si="10"/>
        <v>83916.465295281407</v>
      </c>
      <c r="Z29" s="4">
        <f t="shared" si="11"/>
        <v>80000</v>
      </c>
    </row>
    <row r="30" spans="1:26">
      <c r="A30" s="7">
        <f t="shared" si="4"/>
        <v>17</v>
      </c>
      <c r="B30" s="8">
        <f t="shared" si="5"/>
        <v>83916.465295281407</v>
      </c>
      <c r="C30" s="8">
        <f t="shared" si="6"/>
        <v>251.05009200838356</v>
      </c>
      <c r="D30" s="8">
        <f t="shared" si="7"/>
        <v>84167.515387289794</v>
      </c>
      <c r="E30" s="8">
        <f t="shared" si="0"/>
        <v>400000</v>
      </c>
      <c r="F30" s="8">
        <f t="shared" si="8"/>
        <v>80000</v>
      </c>
      <c r="G30" s="8">
        <f t="shared" si="1"/>
        <v>4167.5153872897936</v>
      </c>
      <c r="H30" s="8">
        <f t="shared" si="2"/>
        <v>-4167.5153872897936</v>
      </c>
      <c r="I30" s="9" t="str">
        <f t="shared" si="3"/>
        <v>Deposit / sell</v>
      </c>
      <c r="K30" s="3"/>
      <c r="L30" s="4"/>
      <c r="M30" s="4"/>
      <c r="X30" s="3">
        <f t="shared" si="9"/>
        <v>17</v>
      </c>
      <c r="Y30" s="4">
        <f t="shared" si="10"/>
        <v>84167.515387289794</v>
      </c>
      <c r="Z30" s="4">
        <f t="shared" si="11"/>
        <v>80000</v>
      </c>
    </row>
    <row r="31" spans="1:26">
      <c r="A31" s="7">
        <f t="shared" si="4"/>
        <v>18</v>
      </c>
      <c r="B31" s="8">
        <f t="shared" si="5"/>
        <v>84167.515387289794</v>
      </c>
      <c r="C31" s="8">
        <f t="shared" si="6"/>
        <v>251.80115020030865</v>
      </c>
      <c r="D31" s="8">
        <f t="shared" si="7"/>
        <v>84419.3165374901</v>
      </c>
      <c r="E31" s="8">
        <f t="shared" si="0"/>
        <v>400000</v>
      </c>
      <c r="F31" s="8">
        <f t="shared" si="8"/>
        <v>80000</v>
      </c>
      <c r="G31" s="8">
        <f t="shared" si="1"/>
        <v>4419.3165374901</v>
      </c>
      <c r="H31" s="8">
        <f t="shared" si="2"/>
        <v>-4419.3165374901</v>
      </c>
      <c r="I31" s="9" t="str">
        <f t="shared" si="3"/>
        <v>Deposit / sell</v>
      </c>
      <c r="K31" s="3"/>
      <c r="L31" s="4"/>
      <c r="M31" s="4"/>
      <c r="X31" s="3">
        <f t="shared" si="9"/>
        <v>18</v>
      </c>
      <c r="Y31" s="4">
        <f t="shared" si="10"/>
        <v>84419.3165374901</v>
      </c>
      <c r="Z31" s="4">
        <f t="shared" si="11"/>
        <v>80000</v>
      </c>
    </row>
    <row r="32" spans="1:26">
      <c r="A32" s="7">
        <f t="shared" si="4"/>
        <v>19</v>
      </c>
      <c r="B32" s="8">
        <f t="shared" si="5"/>
        <v>84419.3165374901</v>
      </c>
      <c r="C32" s="8">
        <f t="shared" si="6"/>
        <v>252.55445530799122</v>
      </c>
      <c r="D32" s="8">
        <f t="shared" si="7"/>
        <v>84671.870992798096</v>
      </c>
      <c r="E32" s="8">
        <f t="shared" si="0"/>
        <v>400000</v>
      </c>
      <c r="F32" s="8">
        <f t="shared" si="8"/>
        <v>80000</v>
      </c>
      <c r="G32" s="8">
        <f t="shared" si="1"/>
        <v>4671.8709927980963</v>
      </c>
      <c r="H32" s="8">
        <f t="shared" si="2"/>
        <v>-4671.8709927980963</v>
      </c>
      <c r="I32" s="9" t="str">
        <f t="shared" si="3"/>
        <v>Deposit / sell</v>
      </c>
      <c r="K32" s="3"/>
      <c r="L32" s="4"/>
      <c r="M32" s="4"/>
      <c r="X32" s="3">
        <f t="shared" si="9"/>
        <v>19</v>
      </c>
      <c r="Y32" s="4">
        <f t="shared" si="10"/>
        <v>84671.870992798096</v>
      </c>
      <c r="Z32" s="4">
        <f t="shared" si="11"/>
        <v>80000</v>
      </c>
    </row>
    <row r="33" spans="1:26">
      <c r="A33" s="7">
        <f t="shared" si="4"/>
        <v>20</v>
      </c>
      <c r="B33" s="8">
        <f t="shared" si="5"/>
        <v>84671.870992798096</v>
      </c>
      <c r="C33" s="8">
        <f t="shared" si="6"/>
        <v>253.31001405345432</v>
      </c>
      <c r="D33" s="8">
        <f t="shared" si="7"/>
        <v>84925.181006851548</v>
      </c>
      <c r="E33" s="8">
        <f t="shared" si="0"/>
        <v>400000</v>
      </c>
      <c r="F33" s="8">
        <f t="shared" si="8"/>
        <v>80000</v>
      </c>
      <c r="G33" s="8">
        <f t="shared" si="1"/>
        <v>4925.1810068515479</v>
      </c>
      <c r="H33" s="8">
        <f t="shared" si="2"/>
        <v>-4925.1810068515479</v>
      </c>
      <c r="I33" s="9" t="str">
        <f t="shared" si="3"/>
        <v>Deposit / sell</v>
      </c>
      <c r="K33" s="3"/>
      <c r="L33" s="4"/>
      <c r="M33" s="4"/>
      <c r="X33" s="3">
        <f t="shared" si="9"/>
        <v>20</v>
      </c>
      <c r="Y33" s="4">
        <f t="shared" si="10"/>
        <v>84925.181006851548</v>
      </c>
      <c r="Z33" s="4">
        <f t="shared" si="11"/>
        <v>80000</v>
      </c>
    </row>
    <row r="34" spans="1:26">
      <c r="A34" s="7">
        <f t="shared" si="4"/>
        <v>21</v>
      </c>
      <c r="B34" s="8">
        <f t="shared" si="5"/>
        <v>84925.181006851548</v>
      </c>
      <c r="C34" s="8">
        <f t="shared" si="6"/>
        <v>254.06783317883088</v>
      </c>
      <c r="D34" s="8">
        <f t="shared" si="7"/>
        <v>85179.248840030385</v>
      </c>
      <c r="E34" s="8">
        <f t="shared" si="0"/>
        <v>400000</v>
      </c>
      <c r="F34" s="8">
        <f t="shared" si="8"/>
        <v>80000</v>
      </c>
      <c r="G34" s="8">
        <f t="shared" si="1"/>
        <v>5179.2488400303846</v>
      </c>
      <c r="H34" s="8">
        <f t="shared" si="2"/>
        <v>-5179.2488400303846</v>
      </c>
      <c r="I34" s="9" t="str">
        <f t="shared" si="3"/>
        <v>Deposit / sell</v>
      </c>
      <c r="K34" s="3"/>
      <c r="L34" s="4"/>
      <c r="M34" s="4"/>
      <c r="X34" s="3">
        <f t="shared" si="9"/>
        <v>21</v>
      </c>
      <c r="Y34" s="4">
        <f t="shared" si="10"/>
        <v>85179.248840030385</v>
      </c>
      <c r="Z34" s="4">
        <f t="shared" si="11"/>
        <v>80000</v>
      </c>
    </row>
    <row r="35" spans="1:26">
      <c r="A35" s="7">
        <f t="shared" si="4"/>
        <v>22</v>
      </c>
      <c r="B35" s="8">
        <f t="shared" si="5"/>
        <v>85179.248840030385</v>
      </c>
      <c r="C35" s="8">
        <f t="shared" si="6"/>
        <v>254.82791944642423</v>
      </c>
      <c r="D35" s="8">
        <f t="shared" si="7"/>
        <v>85434.076759476811</v>
      </c>
      <c r="E35" s="8">
        <f t="shared" si="0"/>
        <v>400000</v>
      </c>
      <c r="F35" s="8">
        <f t="shared" si="8"/>
        <v>80000</v>
      </c>
      <c r="G35" s="8">
        <f t="shared" si="1"/>
        <v>5434.0767594768113</v>
      </c>
      <c r="H35" s="8">
        <f t="shared" si="2"/>
        <v>-5434.0767594768113</v>
      </c>
      <c r="I35" s="9" t="str">
        <f t="shared" si="3"/>
        <v>Deposit / sell</v>
      </c>
      <c r="K35" s="3"/>
      <c r="L35" s="4"/>
      <c r="M35" s="4"/>
      <c r="X35" s="3">
        <f t="shared" si="9"/>
        <v>22</v>
      </c>
      <c r="Y35" s="4">
        <f t="shared" si="10"/>
        <v>85434.076759476811</v>
      </c>
      <c r="Z35" s="4">
        <f t="shared" si="11"/>
        <v>80000</v>
      </c>
    </row>
    <row r="36" spans="1:26">
      <c r="A36" s="7">
        <f t="shared" si="4"/>
        <v>23</v>
      </c>
      <c r="B36" s="8">
        <f t="shared" si="5"/>
        <v>85434.076759476811</v>
      </c>
      <c r="C36" s="8">
        <f t="shared" si="6"/>
        <v>255.59027963876812</v>
      </c>
      <c r="D36" s="8">
        <f t="shared" si="7"/>
        <v>85689.667039115579</v>
      </c>
      <c r="E36" s="8">
        <f t="shared" si="0"/>
        <v>400000</v>
      </c>
      <c r="F36" s="8">
        <f t="shared" si="8"/>
        <v>80000</v>
      </c>
      <c r="G36" s="8">
        <f t="shared" si="1"/>
        <v>5689.6670391155785</v>
      </c>
      <c r="H36" s="8">
        <f t="shared" si="2"/>
        <v>-5689.6670391155785</v>
      </c>
      <c r="I36" s="9" t="str">
        <f t="shared" si="3"/>
        <v>Deposit / sell</v>
      </c>
      <c r="K36" s="3"/>
      <c r="L36" s="4"/>
      <c r="M36" s="4"/>
      <c r="X36" s="3">
        <f t="shared" si="9"/>
        <v>23</v>
      </c>
      <c r="Y36" s="4">
        <f t="shared" si="10"/>
        <v>85689.667039115579</v>
      </c>
      <c r="Z36" s="4">
        <f t="shared" si="11"/>
        <v>80000</v>
      </c>
    </row>
    <row r="37" spans="1:26">
      <c r="A37" s="7">
        <f t="shared" si="4"/>
        <v>24</v>
      </c>
      <c r="B37" s="8">
        <f t="shared" si="5"/>
        <v>85689.667039115579</v>
      </c>
      <c r="C37" s="8">
        <f t="shared" si="6"/>
        <v>256.35492055868747</v>
      </c>
      <c r="D37" s="8">
        <f t="shared" si="7"/>
        <v>85946.021959674268</v>
      </c>
      <c r="E37" s="8">
        <f t="shared" si="0"/>
        <v>400000</v>
      </c>
      <c r="F37" s="8">
        <f t="shared" si="8"/>
        <v>80000</v>
      </c>
      <c r="G37" s="8">
        <f t="shared" si="1"/>
        <v>5946.0219596742681</v>
      </c>
      <c r="H37" s="8">
        <f t="shared" si="2"/>
        <v>-5946.0219596742681</v>
      </c>
      <c r="I37" s="9" t="str">
        <f t="shared" si="3"/>
        <v>Deposit / sell</v>
      </c>
      <c r="K37" s="3"/>
      <c r="L37" s="4"/>
      <c r="M37" s="4"/>
      <c r="X37" s="3">
        <f t="shared" si="9"/>
        <v>24</v>
      </c>
      <c r="Y37" s="4">
        <f t="shared" si="10"/>
        <v>85946.021959674268</v>
      </c>
      <c r="Z37" s="4">
        <f t="shared" si="11"/>
        <v>80000</v>
      </c>
    </row>
    <row r="38" spans="1:26">
      <c r="A38" s="7">
        <f t="shared" si="4"/>
        <v>25</v>
      </c>
      <c r="B38" s="8">
        <f t="shared" si="5"/>
        <v>85946.021959674268</v>
      </c>
      <c r="C38" s="8">
        <f t="shared" si="6"/>
        <v>257.12184902935888</v>
      </c>
      <c r="D38" s="8">
        <f t="shared" si="7"/>
        <v>86203.143808703622</v>
      </c>
      <c r="E38" s="8">
        <f t="shared" si="0"/>
        <v>400000</v>
      </c>
      <c r="F38" s="8">
        <f t="shared" si="8"/>
        <v>80000</v>
      </c>
      <c r="G38" s="8">
        <f t="shared" si="1"/>
        <v>6203.1438087036222</v>
      </c>
      <c r="H38" s="8">
        <f t="shared" si="2"/>
        <v>-6203.1438087036222</v>
      </c>
      <c r="I38" s="9" t="str">
        <f t="shared" si="3"/>
        <v>Deposit / sell</v>
      </c>
      <c r="K38" s="3"/>
      <c r="L38" s="4"/>
      <c r="M38" s="4"/>
      <c r="X38" s="3">
        <f t="shared" si="9"/>
        <v>25</v>
      </c>
      <c r="Y38" s="4">
        <f t="shared" si="10"/>
        <v>86203.143808703622</v>
      </c>
      <c r="Z38" s="4">
        <f t="shared" si="11"/>
        <v>80000</v>
      </c>
    </row>
    <row r="39" spans="1:26">
      <c r="A39" s="7">
        <f t="shared" si="4"/>
        <v>26</v>
      </c>
      <c r="B39" s="8">
        <f t="shared" si="5"/>
        <v>86203.143808703622</v>
      </c>
      <c r="C39" s="8">
        <f t="shared" si="6"/>
        <v>257.89107189437169</v>
      </c>
      <c r="D39" s="8">
        <f t="shared" si="7"/>
        <v>86461.034880597988</v>
      </c>
      <c r="E39" s="8">
        <f t="shared" si="0"/>
        <v>400000</v>
      </c>
      <c r="F39" s="8">
        <f t="shared" si="8"/>
        <v>80000</v>
      </c>
      <c r="G39" s="8">
        <f t="shared" si="1"/>
        <v>6461.0348805979884</v>
      </c>
      <c r="H39" s="8">
        <f t="shared" si="2"/>
        <v>-6461.0348805979884</v>
      </c>
      <c r="I39" s="9" t="str">
        <f t="shared" si="3"/>
        <v>Deposit / sell</v>
      </c>
      <c r="K39" s="3"/>
      <c r="L39" s="4"/>
      <c r="M39" s="4"/>
      <c r="X39" s="3">
        <f t="shared" si="9"/>
        <v>26</v>
      </c>
      <c r="Y39" s="4">
        <f t="shared" si="10"/>
        <v>86461.034880597988</v>
      </c>
      <c r="Z39" s="4">
        <f t="shared" si="11"/>
        <v>80000</v>
      </c>
    </row>
    <row r="40" spans="1:26">
      <c r="A40" s="7">
        <f t="shared" si="4"/>
        <v>27</v>
      </c>
      <c r="B40" s="8">
        <f t="shared" si="5"/>
        <v>86461.034880597988</v>
      </c>
      <c r="C40" s="8">
        <f t="shared" si="6"/>
        <v>258.66259601778899</v>
      </c>
      <c r="D40" s="8">
        <f t="shared" si="7"/>
        <v>86719.69747661578</v>
      </c>
      <c r="E40" s="8">
        <f t="shared" si="0"/>
        <v>400000</v>
      </c>
      <c r="F40" s="8">
        <f t="shared" si="8"/>
        <v>80000</v>
      </c>
      <c r="G40" s="8">
        <f t="shared" si="1"/>
        <v>6719.69747661578</v>
      </c>
      <c r="H40" s="8">
        <f t="shared" si="2"/>
        <v>-6719.69747661578</v>
      </c>
      <c r="I40" s="9" t="str">
        <f t="shared" si="3"/>
        <v>Deposit / sell</v>
      </c>
      <c r="K40" s="3"/>
      <c r="L40" s="4"/>
      <c r="M40" s="4"/>
      <c r="X40" s="3">
        <f t="shared" si="9"/>
        <v>27</v>
      </c>
      <c r="Y40" s="4">
        <f t="shared" si="10"/>
        <v>86719.69747661578</v>
      </c>
      <c r="Z40" s="4">
        <f t="shared" si="11"/>
        <v>80000</v>
      </c>
    </row>
    <row r="41" spans="1:26">
      <c r="A41" s="7">
        <f t="shared" si="4"/>
        <v>28</v>
      </c>
      <c r="B41" s="8">
        <f t="shared" si="5"/>
        <v>86719.69747661578</v>
      </c>
      <c r="C41" s="8">
        <f t="shared" si="6"/>
        <v>259.43642828420889</v>
      </c>
      <c r="D41" s="8">
        <f t="shared" si="7"/>
        <v>86979.133904899994</v>
      </c>
      <c r="E41" s="8">
        <f t="shared" si="0"/>
        <v>400000</v>
      </c>
      <c r="F41" s="8">
        <f t="shared" si="8"/>
        <v>80000</v>
      </c>
      <c r="G41" s="8">
        <f t="shared" si="1"/>
        <v>6979.1339048999944</v>
      </c>
      <c r="H41" s="8">
        <f t="shared" si="2"/>
        <v>-6979.1339048999944</v>
      </c>
      <c r="I41" s="9" t="str">
        <f t="shared" si="3"/>
        <v>Deposit / sell</v>
      </c>
      <c r="K41" s="3"/>
      <c r="L41" s="4"/>
      <c r="M41" s="4"/>
      <c r="X41" s="3">
        <f t="shared" si="9"/>
        <v>28</v>
      </c>
      <c r="Y41" s="4">
        <f t="shared" si="10"/>
        <v>86979.133904899994</v>
      </c>
      <c r="Z41" s="4">
        <f t="shared" si="11"/>
        <v>80000</v>
      </c>
    </row>
    <row r="42" spans="1:26">
      <c r="A42" s="7">
        <f t="shared" si="4"/>
        <v>29</v>
      </c>
      <c r="B42" s="8">
        <f t="shared" si="5"/>
        <v>86979.133904899994</v>
      </c>
      <c r="C42" s="8">
        <f t="shared" si="6"/>
        <v>260.21257559882582</v>
      </c>
      <c r="D42" s="8">
        <f t="shared" si="7"/>
        <v>87239.346480498818</v>
      </c>
      <c r="E42" s="8">
        <f t="shared" si="0"/>
        <v>400000</v>
      </c>
      <c r="F42" s="8">
        <f t="shared" si="8"/>
        <v>80000</v>
      </c>
      <c r="G42" s="8">
        <f t="shared" si="1"/>
        <v>7239.346480498818</v>
      </c>
      <c r="H42" s="8">
        <f t="shared" si="2"/>
        <v>-7239.346480498818</v>
      </c>
      <c r="I42" s="9" t="str">
        <f t="shared" si="3"/>
        <v>Deposit / sell</v>
      </c>
      <c r="K42" s="3"/>
      <c r="L42" s="4"/>
      <c r="M42" s="4"/>
      <c r="X42" s="3">
        <f t="shared" si="9"/>
        <v>29</v>
      </c>
      <c r="Y42" s="4">
        <f t="shared" si="10"/>
        <v>87239.346480498818</v>
      </c>
      <c r="Z42" s="4">
        <f t="shared" si="11"/>
        <v>80000</v>
      </c>
    </row>
    <row r="43" spans="1:26">
      <c r="A43" s="7">
        <f t="shared" si="4"/>
        <v>30</v>
      </c>
      <c r="B43" s="8">
        <f t="shared" si="5"/>
        <v>87239.346480498818</v>
      </c>
      <c r="C43" s="8">
        <f t="shared" si="6"/>
        <v>260.99104488749231</v>
      </c>
      <c r="D43" s="8">
        <f t="shared" si="7"/>
        <v>87500.337525386305</v>
      </c>
      <c r="E43" s="8">
        <f t="shared" si="0"/>
        <v>400000</v>
      </c>
      <c r="F43" s="8">
        <f t="shared" si="8"/>
        <v>80000</v>
      </c>
      <c r="G43" s="8">
        <f t="shared" si="1"/>
        <v>7500.3375253863051</v>
      </c>
      <c r="H43" s="8">
        <f t="shared" si="2"/>
        <v>-7500.3375253863051</v>
      </c>
      <c r="I43" s="9" t="str">
        <f t="shared" si="3"/>
        <v>Deposit / sell</v>
      </c>
      <c r="K43" s="3"/>
      <c r="L43" s="4"/>
      <c r="M43" s="4"/>
      <c r="X43" s="3">
        <f t="shared" si="9"/>
        <v>30</v>
      </c>
      <c r="Y43" s="4">
        <f t="shared" si="10"/>
        <v>87500.337525386305</v>
      </c>
      <c r="Z43" s="4">
        <f t="shared" si="11"/>
        <v>80000</v>
      </c>
    </row>
    <row r="44" spans="1:26">
      <c r="A44" s="7">
        <f t="shared" si="4"/>
        <v>31</v>
      </c>
      <c r="B44" s="8">
        <f t="shared" si="5"/>
        <v>87500.337525386305</v>
      </c>
      <c r="C44" s="8">
        <f t="shared" si="6"/>
        <v>261.77184309678069</v>
      </c>
      <c r="D44" s="8">
        <f t="shared" si="7"/>
        <v>87762.109368483085</v>
      </c>
      <c r="E44" s="8">
        <f t="shared" si="0"/>
        <v>400000</v>
      </c>
      <c r="F44" s="8">
        <f t="shared" si="8"/>
        <v>80000</v>
      </c>
      <c r="G44" s="8">
        <f t="shared" si="1"/>
        <v>7762.1093684830848</v>
      </c>
      <c r="H44" s="8">
        <f t="shared" si="2"/>
        <v>-7762.1093684830848</v>
      </c>
      <c r="I44" s="9" t="str">
        <f t="shared" si="3"/>
        <v>Deposit / sell</v>
      </c>
      <c r="K44" s="3"/>
      <c r="L44" s="4"/>
      <c r="M44" s="4"/>
      <c r="X44" s="3">
        <f t="shared" si="9"/>
        <v>31</v>
      </c>
      <c r="Y44" s="4">
        <f t="shared" si="10"/>
        <v>87762.109368483085</v>
      </c>
      <c r="Z44" s="4">
        <f t="shared" si="11"/>
        <v>80000</v>
      </c>
    </row>
    <row r="45" spans="1:26">
      <c r="A45" s="7">
        <f t="shared" si="4"/>
        <v>32</v>
      </c>
      <c r="B45" s="8">
        <f t="shared" si="5"/>
        <v>87762.109368483085</v>
      </c>
      <c r="C45" s="8">
        <f t="shared" si="6"/>
        <v>262.55497719404525</v>
      </c>
      <c r="D45" s="8">
        <f t="shared" si="7"/>
        <v>88024.664345677127</v>
      </c>
      <c r="E45" s="8">
        <f t="shared" si="0"/>
        <v>400000</v>
      </c>
      <c r="F45" s="8">
        <f t="shared" si="8"/>
        <v>80000</v>
      </c>
      <c r="G45" s="8">
        <f t="shared" si="1"/>
        <v>8024.6643456771271</v>
      </c>
      <c r="H45" s="8">
        <f t="shared" si="2"/>
        <v>-8024.6643456771271</v>
      </c>
      <c r="I45" s="9" t="str">
        <f t="shared" si="3"/>
        <v>Deposit / sell</v>
      </c>
      <c r="K45" s="3"/>
      <c r="L45" s="4"/>
      <c r="M45" s="4"/>
      <c r="X45" s="3">
        <f t="shared" si="9"/>
        <v>32</v>
      </c>
      <c r="Y45" s="4">
        <f t="shared" si="10"/>
        <v>88024.664345677127</v>
      </c>
      <c r="Z45" s="4">
        <f t="shared" si="11"/>
        <v>80000</v>
      </c>
    </row>
    <row r="46" spans="1:26">
      <c r="A46" s="7">
        <f t="shared" si="4"/>
        <v>33</v>
      </c>
      <c r="B46" s="8">
        <f t="shared" si="5"/>
        <v>88024.664345677127</v>
      </c>
      <c r="C46" s="8">
        <f t="shared" si="6"/>
        <v>263.3404541674841</v>
      </c>
      <c r="D46" s="8">
        <f t="shared" si="7"/>
        <v>88288.00479984461</v>
      </c>
      <c r="E46" s="8">
        <f t="shared" si="0"/>
        <v>400000</v>
      </c>
      <c r="F46" s="8">
        <f t="shared" si="8"/>
        <v>80000</v>
      </c>
      <c r="G46" s="8">
        <f t="shared" si="1"/>
        <v>8288.0047998446098</v>
      </c>
      <c r="H46" s="8">
        <f t="shared" si="2"/>
        <v>-8288.0047998446098</v>
      </c>
      <c r="I46" s="9" t="str">
        <f t="shared" si="3"/>
        <v>Deposit / sell</v>
      </c>
      <c r="K46" s="3"/>
      <c r="L46" s="4"/>
      <c r="M46" s="4"/>
      <c r="X46" s="3">
        <f t="shared" si="9"/>
        <v>33</v>
      </c>
      <c r="Y46" s="4">
        <f t="shared" si="10"/>
        <v>88288.00479984461</v>
      </c>
      <c r="Z46" s="4">
        <f t="shared" si="11"/>
        <v>80000</v>
      </c>
    </row>
    <row r="47" spans="1:26">
      <c r="A47" s="7">
        <f t="shared" si="4"/>
        <v>34</v>
      </c>
      <c r="B47" s="8">
        <f t="shared" si="5"/>
        <v>88288.00479984461</v>
      </c>
      <c r="C47" s="8">
        <f t="shared" si="6"/>
        <v>264.12828102620182</v>
      </c>
      <c r="D47" s="8">
        <f t="shared" si="7"/>
        <v>88552.133080870815</v>
      </c>
      <c r="E47" s="8">
        <f t="shared" si="0"/>
        <v>400000</v>
      </c>
      <c r="F47" s="8">
        <f t="shared" si="8"/>
        <v>80000</v>
      </c>
      <c r="G47" s="8">
        <f t="shared" si="1"/>
        <v>8552.1330808708153</v>
      </c>
      <c r="H47" s="8">
        <f t="shared" si="2"/>
        <v>-8552.1330808708153</v>
      </c>
      <c r="I47" s="9" t="str">
        <f t="shared" si="3"/>
        <v>Deposit / sell</v>
      </c>
      <c r="K47" s="3"/>
      <c r="L47" s="4"/>
      <c r="M47" s="4"/>
      <c r="X47" s="3">
        <f t="shared" si="9"/>
        <v>34</v>
      </c>
      <c r="Y47" s="4">
        <f t="shared" si="10"/>
        <v>88552.133080870815</v>
      </c>
      <c r="Z47" s="4">
        <f t="shared" si="11"/>
        <v>80000</v>
      </c>
    </row>
    <row r="48" spans="1:26">
      <c r="A48" s="7">
        <f t="shared" si="4"/>
        <v>35</v>
      </c>
      <c r="B48" s="8">
        <f t="shared" si="5"/>
        <v>88552.133080870815</v>
      </c>
      <c r="C48" s="8">
        <f t="shared" si="6"/>
        <v>264.91846480027186</v>
      </c>
      <c r="D48" s="8">
        <f t="shared" si="7"/>
        <v>88817.051545671085</v>
      </c>
      <c r="E48" s="8">
        <f t="shared" si="0"/>
        <v>400000</v>
      </c>
      <c r="F48" s="8">
        <f t="shared" si="8"/>
        <v>80000</v>
      </c>
      <c r="G48" s="8">
        <f t="shared" si="1"/>
        <v>8817.0515456710855</v>
      </c>
      <c r="H48" s="8">
        <f t="shared" si="2"/>
        <v>-8817.0515456710855</v>
      </c>
      <c r="I48" s="9" t="str">
        <f t="shared" si="3"/>
        <v>Deposit / sell</v>
      </c>
      <c r="K48" s="3"/>
      <c r="L48" s="4"/>
      <c r="M48" s="4"/>
      <c r="X48" s="3">
        <f t="shared" si="9"/>
        <v>35</v>
      </c>
      <c r="Y48" s="4">
        <f t="shared" si="10"/>
        <v>88817.051545671085</v>
      </c>
      <c r="Z48" s="4">
        <f t="shared" si="11"/>
        <v>80000</v>
      </c>
    </row>
    <row r="49" spans="1:26">
      <c r="A49" s="7">
        <f t="shared" si="4"/>
        <v>36</v>
      </c>
      <c r="B49" s="8">
        <f t="shared" si="5"/>
        <v>88817.051545671085</v>
      </c>
      <c r="C49" s="8">
        <f t="shared" si="6"/>
        <v>265.71101254079935</v>
      </c>
      <c r="D49" s="8">
        <f t="shared" si="7"/>
        <v>89082.762558211878</v>
      </c>
      <c r="E49" s="8">
        <f t="shared" si="0"/>
        <v>400000</v>
      </c>
      <c r="F49" s="8">
        <f t="shared" si="8"/>
        <v>80000</v>
      </c>
      <c r="G49" s="8">
        <f t="shared" si="1"/>
        <v>9082.7625582118781</v>
      </c>
      <c r="H49" s="8">
        <f t="shared" si="2"/>
        <v>-9082.7625582118781</v>
      </c>
      <c r="I49" s="9" t="str">
        <f t="shared" si="3"/>
        <v>Deposit / sell</v>
      </c>
      <c r="K49" s="3"/>
      <c r="L49" s="4"/>
      <c r="M49" s="4"/>
      <c r="X49" s="3">
        <f t="shared" si="9"/>
        <v>36</v>
      </c>
      <c r="Y49" s="4">
        <f t="shared" si="10"/>
        <v>89082.762558211878</v>
      </c>
      <c r="Z49" s="4">
        <f t="shared" si="11"/>
        <v>80000</v>
      </c>
    </row>
    <row r="50" spans="1:26">
      <c r="A50" s="7">
        <f t="shared" si="4"/>
        <v>37</v>
      </c>
      <c r="B50" s="8">
        <f t="shared" si="5"/>
        <v>89082.762558211878</v>
      </c>
      <c r="C50" s="8">
        <f t="shared" si="6"/>
        <v>266.50593131998386</v>
      </c>
      <c r="D50" s="8">
        <f t="shared" si="7"/>
        <v>89349.268489531867</v>
      </c>
      <c r="E50" s="8">
        <f t="shared" si="0"/>
        <v>400000</v>
      </c>
      <c r="F50" s="8">
        <f t="shared" si="8"/>
        <v>80000</v>
      </c>
      <c r="G50" s="8">
        <f t="shared" si="1"/>
        <v>9349.2684895318671</v>
      </c>
      <c r="H50" s="8">
        <f t="shared" si="2"/>
        <v>-9349.2684895318671</v>
      </c>
      <c r="I50" s="9" t="str">
        <f t="shared" si="3"/>
        <v>Deposit / sell</v>
      </c>
      <c r="K50" s="3"/>
      <c r="L50" s="4"/>
      <c r="M50" s="4"/>
      <c r="X50" s="3">
        <f t="shared" si="9"/>
        <v>37</v>
      </c>
      <c r="Y50" s="4">
        <f t="shared" si="10"/>
        <v>89349.268489531867</v>
      </c>
      <c r="Z50" s="4">
        <f t="shared" si="11"/>
        <v>80000</v>
      </c>
    </row>
    <row r="51" spans="1:26">
      <c r="A51" s="7">
        <f t="shared" si="4"/>
        <v>38</v>
      </c>
      <c r="B51" s="8">
        <f t="shared" si="5"/>
        <v>89349.268489531867</v>
      </c>
      <c r="C51" s="8">
        <f t="shared" si="6"/>
        <v>267.30322823118286</v>
      </c>
      <c r="D51" s="8">
        <f t="shared" si="7"/>
        <v>89616.571717763043</v>
      </c>
      <c r="E51" s="8">
        <f t="shared" si="0"/>
        <v>400000</v>
      </c>
      <c r="F51" s="8">
        <f t="shared" si="8"/>
        <v>80000</v>
      </c>
      <c r="G51" s="8">
        <f t="shared" si="1"/>
        <v>9616.5717177630431</v>
      </c>
      <c r="H51" s="8">
        <f t="shared" si="2"/>
        <v>-9616.5717177630431</v>
      </c>
      <c r="I51" s="9" t="str">
        <f t="shared" si="3"/>
        <v>Deposit / sell</v>
      </c>
      <c r="K51" s="3"/>
      <c r="L51" s="4"/>
      <c r="M51" s="4"/>
      <c r="X51" s="3">
        <f t="shared" si="9"/>
        <v>38</v>
      </c>
      <c r="Y51" s="4">
        <f t="shared" si="10"/>
        <v>89616.571717763043</v>
      </c>
      <c r="Z51" s="4">
        <f t="shared" si="11"/>
        <v>80000</v>
      </c>
    </row>
    <row r="52" spans="1:26">
      <c r="A52" s="7">
        <f t="shared" si="4"/>
        <v>39</v>
      </c>
      <c r="B52" s="8">
        <f t="shared" si="5"/>
        <v>89616.571717763043</v>
      </c>
      <c r="C52" s="8">
        <f t="shared" si="6"/>
        <v>268.10291038897446</v>
      </c>
      <c r="D52" s="8">
        <f t="shared" si="7"/>
        <v>89884.674628152017</v>
      </c>
      <c r="E52" s="8">
        <f t="shared" si="0"/>
        <v>400000</v>
      </c>
      <c r="F52" s="8">
        <f t="shared" si="8"/>
        <v>80000</v>
      </c>
      <c r="G52" s="8">
        <f t="shared" si="1"/>
        <v>9884.6746281520172</v>
      </c>
      <c r="H52" s="8">
        <f t="shared" si="2"/>
        <v>-9884.6746281520172</v>
      </c>
      <c r="I52" s="9" t="str">
        <f t="shared" si="3"/>
        <v>Deposit / sell</v>
      </c>
      <c r="K52" s="3"/>
      <c r="L52" s="4"/>
      <c r="M52" s="4"/>
      <c r="X52" s="3">
        <f t="shared" si="9"/>
        <v>39</v>
      </c>
      <c r="Y52" s="4">
        <f t="shared" si="10"/>
        <v>89884.674628152017</v>
      </c>
      <c r="Z52" s="4">
        <f t="shared" si="11"/>
        <v>80000</v>
      </c>
    </row>
    <row r="53" spans="1:26">
      <c r="A53" s="7">
        <f t="shared" si="4"/>
        <v>40</v>
      </c>
      <c r="B53" s="8">
        <f t="shared" si="5"/>
        <v>89884.674628152017</v>
      </c>
      <c r="C53" s="8">
        <f t="shared" si="6"/>
        <v>268.90498492922148</v>
      </c>
      <c r="D53" s="8">
        <f t="shared" si="7"/>
        <v>90153.579613081238</v>
      </c>
      <c r="E53" s="8">
        <f t="shared" si="0"/>
        <v>400000</v>
      </c>
      <c r="F53" s="8">
        <f t="shared" si="8"/>
        <v>80000</v>
      </c>
      <c r="G53" s="8">
        <f t="shared" si="1"/>
        <v>10153.579613081238</v>
      </c>
      <c r="H53" s="8">
        <f t="shared" si="2"/>
        <v>-10153.579613081238</v>
      </c>
      <c r="I53" s="9" t="str">
        <f t="shared" si="3"/>
        <v>Deposit / sell</v>
      </c>
      <c r="K53" s="3"/>
      <c r="L53" s="4"/>
      <c r="M53" s="4"/>
      <c r="X53" s="3">
        <f t="shared" si="9"/>
        <v>40</v>
      </c>
      <c r="Y53" s="4">
        <f t="shared" si="10"/>
        <v>90153.579613081238</v>
      </c>
      <c r="Z53" s="4">
        <f t="shared" si="11"/>
        <v>80000</v>
      </c>
    </row>
    <row r="54" spans="1:26">
      <c r="A54" s="7">
        <f t="shared" si="4"/>
        <v>41</v>
      </c>
      <c r="B54" s="8">
        <f t="shared" si="5"/>
        <v>90153.579613081238</v>
      </c>
      <c r="C54" s="8">
        <f t="shared" si="6"/>
        <v>269.70945900913472</v>
      </c>
      <c r="D54" s="8">
        <f t="shared" si="7"/>
        <v>90423.289072090367</v>
      </c>
      <c r="E54" s="8">
        <f t="shared" si="0"/>
        <v>400000</v>
      </c>
      <c r="F54" s="8">
        <f t="shared" si="8"/>
        <v>80000</v>
      </c>
      <c r="G54" s="8">
        <f t="shared" si="1"/>
        <v>10423.289072090367</v>
      </c>
      <c r="H54" s="8">
        <f t="shared" si="2"/>
        <v>-10423.289072090367</v>
      </c>
      <c r="I54" s="9" t="str">
        <f t="shared" si="3"/>
        <v>Deposit / sell</v>
      </c>
      <c r="K54" s="3"/>
      <c r="L54" s="4"/>
      <c r="M54" s="4"/>
      <c r="X54" s="3">
        <f t="shared" si="9"/>
        <v>41</v>
      </c>
      <c r="Y54" s="4">
        <f t="shared" si="10"/>
        <v>90423.289072090367</v>
      </c>
      <c r="Z54" s="4">
        <f t="shared" si="11"/>
        <v>80000</v>
      </c>
    </row>
    <row r="55" spans="1:26">
      <c r="A55" s="7">
        <f t="shared" si="4"/>
        <v>42</v>
      </c>
      <c r="B55" s="8">
        <f t="shared" si="5"/>
        <v>90423.289072090367</v>
      </c>
      <c r="C55" s="8">
        <f t="shared" si="6"/>
        <v>270.51633980733703</v>
      </c>
      <c r="D55" s="8">
        <f t="shared" si="7"/>
        <v>90693.805411897702</v>
      </c>
      <c r="E55" s="8">
        <f t="shared" si="0"/>
        <v>400000</v>
      </c>
      <c r="F55" s="8">
        <f t="shared" si="8"/>
        <v>80000</v>
      </c>
      <c r="G55" s="8">
        <f t="shared" si="1"/>
        <v>10693.805411897702</v>
      </c>
      <c r="H55" s="8">
        <f t="shared" si="2"/>
        <v>-10693.805411897702</v>
      </c>
      <c r="I55" s="9" t="str">
        <f t="shared" si="3"/>
        <v>Deposit / sell</v>
      </c>
      <c r="K55" s="3"/>
      <c r="L55" s="4"/>
      <c r="M55" s="4"/>
      <c r="X55" s="3">
        <f t="shared" si="9"/>
        <v>42</v>
      </c>
      <c r="Y55" s="4">
        <f t="shared" si="10"/>
        <v>90693.805411897702</v>
      </c>
      <c r="Z55" s="4">
        <f t="shared" si="11"/>
        <v>80000</v>
      </c>
    </row>
    <row r="56" spans="1:26">
      <c r="A56" s="7">
        <f t="shared" si="4"/>
        <v>43</v>
      </c>
      <c r="B56" s="8">
        <f t="shared" si="5"/>
        <v>90693.805411897702</v>
      </c>
      <c r="C56" s="8">
        <f t="shared" si="6"/>
        <v>271.32563452392731</v>
      </c>
      <c r="D56" s="8">
        <f t="shared" si="7"/>
        <v>90965.131046421622</v>
      </c>
      <c r="E56" s="8">
        <f t="shared" si="0"/>
        <v>400000</v>
      </c>
      <c r="F56" s="8">
        <f t="shared" si="8"/>
        <v>80000</v>
      </c>
      <c r="G56" s="8">
        <f t="shared" si="1"/>
        <v>10965.131046421622</v>
      </c>
      <c r="H56" s="8">
        <f t="shared" si="2"/>
        <v>-10965.131046421622</v>
      </c>
      <c r="I56" s="9" t="str">
        <f t="shared" si="3"/>
        <v>Deposit / sell</v>
      </c>
      <c r="K56" s="3"/>
      <c r="L56" s="4"/>
      <c r="M56" s="4"/>
      <c r="X56" s="3">
        <f t="shared" si="9"/>
        <v>43</v>
      </c>
      <c r="Y56" s="4">
        <f t="shared" si="10"/>
        <v>90965.131046421622</v>
      </c>
      <c r="Z56" s="4">
        <f t="shared" si="11"/>
        <v>80000</v>
      </c>
    </row>
    <row r="57" spans="1:26">
      <c r="A57" s="7">
        <f t="shared" si="4"/>
        <v>44</v>
      </c>
      <c r="B57" s="8">
        <f t="shared" si="5"/>
        <v>90965.131046421622</v>
      </c>
      <c r="C57" s="8">
        <f t="shared" si="6"/>
        <v>272.13735038054472</v>
      </c>
      <c r="D57" s="8">
        <f t="shared" si="7"/>
        <v>91237.268396802174</v>
      </c>
      <c r="E57" s="8">
        <f t="shared" si="0"/>
        <v>400000</v>
      </c>
      <c r="F57" s="8">
        <f t="shared" si="8"/>
        <v>80000</v>
      </c>
      <c r="G57" s="8">
        <f t="shared" si="1"/>
        <v>11237.268396802174</v>
      </c>
      <c r="H57" s="8">
        <f t="shared" si="2"/>
        <v>-11237.268396802174</v>
      </c>
      <c r="I57" s="9" t="str">
        <f t="shared" si="3"/>
        <v>Deposit / sell</v>
      </c>
      <c r="K57" s="3"/>
      <c r="L57" s="4"/>
      <c r="M57" s="4"/>
      <c r="X57" s="3">
        <f t="shared" si="9"/>
        <v>44</v>
      </c>
      <c r="Y57" s="4">
        <f t="shared" si="10"/>
        <v>91237.268396802174</v>
      </c>
      <c r="Z57" s="4">
        <f t="shared" si="11"/>
        <v>80000</v>
      </c>
    </row>
    <row r="58" spans="1:26">
      <c r="A58" s="7">
        <f t="shared" si="4"/>
        <v>45</v>
      </c>
      <c r="B58" s="8">
        <f t="shared" si="5"/>
        <v>91237.268396802174</v>
      </c>
      <c r="C58" s="8">
        <f t="shared" si="6"/>
        <v>272.95149462043315</v>
      </c>
      <c r="D58" s="8">
        <f t="shared" si="7"/>
        <v>91510.219891422603</v>
      </c>
      <c r="E58" s="8">
        <f t="shared" si="0"/>
        <v>400000</v>
      </c>
      <c r="F58" s="8">
        <f t="shared" si="8"/>
        <v>80000</v>
      </c>
      <c r="G58" s="8">
        <f t="shared" si="1"/>
        <v>11510.219891422603</v>
      </c>
      <c r="H58" s="8">
        <f t="shared" si="2"/>
        <v>-11510.219891422603</v>
      </c>
      <c r="I58" s="9" t="str">
        <f t="shared" si="3"/>
        <v>Deposit / sell</v>
      </c>
      <c r="K58" s="3"/>
      <c r="L58" s="4"/>
      <c r="M58" s="4"/>
      <c r="X58" s="3">
        <f t="shared" si="9"/>
        <v>45</v>
      </c>
      <c r="Y58" s="4">
        <f t="shared" si="10"/>
        <v>91510.219891422603</v>
      </c>
      <c r="Z58" s="4">
        <f t="shared" si="11"/>
        <v>80000</v>
      </c>
    </row>
    <row r="59" spans="1:26">
      <c r="A59" s="7">
        <f t="shared" si="4"/>
        <v>46</v>
      </c>
      <c r="B59" s="8">
        <f t="shared" si="5"/>
        <v>91510.219891422603</v>
      </c>
      <c r="C59" s="8">
        <f t="shared" si="6"/>
        <v>273.76807450850595</v>
      </c>
      <c r="D59" s="8">
        <f t="shared" si="7"/>
        <v>91783.987965931112</v>
      </c>
      <c r="E59" s="8">
        <f t="shared" si="0"/>
        <v>400000</v>
      </c>
      <c r="F59" s="8">
        <f t="shared" si="8"/>
        <v>80000</v>
      </c>
      <c r="G59" s="8">
        <f t="shared" si="1"/>
        <v>11783.987965931112</v>
      </c>
      <c r="H59" s="8">
        <f t="shared" si="2"/>
        <v>-11783.987965931112</v>
      </c>
      <c r="I59" s="9" t="str">
        <f t="shared" si="3"/>
        <v>Deposit / sell</v>
      </c>
      <c r="K59" s="3"/>
      <c r="L59" s="4"/>
      <c r="M59" s="4"/>
      <c r="X59" s="3">
        <f t="shared" si="9"/>
        <v>46</v>
      </c>
      <c r="Y59" s="4">
        <f t="shared" si="10"/>
        <v>91783.987965931112</v>
      </c>
      <c r="Z59" s="4">
        <f t="shared" si="11"/>
        <v>80000</v>
      </c>
    </row>
    <row r="60" spans="1:26">
      <c r="A60" s="7">
        <f t="shared" si="4"/>
        <v>47</v>
      </c>
      <c r="B60" s="8">
        <f t="shared" si="5"/>
        <v>91783.987965931112</v>
      </c>
      <c r="C60" s="8">
        <f t="shared" si="6"/>
        <v>274.58709733141058</v>
      </c>
      <c r="D60" s="8">
        <f t="shared" si="7"/>
        <v>92058.575063262528</v>
      </c>
      <c r="E60" s="8">
        <f t="shared" si="0"/>
        <v>400000</v>
      </c>
      <c r="F60" s="8">
        <f t="shared" si="8"/>
        <v>80000</v>
      </c>
      <c r="G60" s="8">
        <f t="shared" si="1"/>
        <v>12058.575063262528</v>
      </c>
      <c r="H60" s="8">
        <f t="shared" si="2"/>
        <v>-12058.575063262528</v>
      </c>
      <c r="I60" s="9" t="str">
        <f t="shared" si="3"/>
        <v>Deposit / sell</v>
      </c>
      <c r="K60" s="3"/>
      <c r="L60" s="4"/>
      <c r="M60" s="4"/>
      <c r="X60" s="3">
        <f t="shared" si="9"/>
        <v>47</v>
      </c>
      <c r="Y60" s="4">
        <f t="shared" si="10"/>
        <v>92058.575063262528</v>
      </c>
      <c r="Z60" s="4">
        <f t="shared" si="11"/>
        <v>80000</v>
      </c>
    </row>
    <row r="61" spans="1:26">
      <c r="A61" s="7">
        <f t="shared" si="4"/>
        <v>48</v>
      </c>
      <c r="B61" s="8">
        <f t="shared" si="5"/>
        <v>92058.575063262528</v>
      </c>
      <c r="C61" s="8">
        <f t="shared" si="6"/>
        <v>275.40857039759373</v>
      </c>
      <c r="D61" s="8">
        <f t="shared" si="7"/>
        <v>92333.983633660115</v>
      </c>
      <c r="E61" s="8">
        <f t="shared" si="0"/>
        <v>400000</v>
      </c>
      <c r="F61" s="8">
        <f t="shared" si="8"/>
        <v>80000</v>
      </c>
      <c r="G61" s="8">
        <f t="shared" si="1"/>
        <v>12333.983633660115</v>
      </c>
      <c r="H61" s="8">
        <f t="shared" si="2"/>
        <v>-12333.983633660115</v>
      </c>
      <c r="I61" s="9" t="str">
        <f t="shared" si="3"/>
        <v>Deposit / sell</v>
      </c>
      <c r="K61" s="3"/>
      <c r="L61" s="4"/>
      <c r="M61" s="4"/>
      <c r="X61" s="3">
        <f t="shared" si="9"/>
        <v>48</v>
      </c>
      <c r="Y61" s="4">
        <f t="shared" si="10"/>
        <v>92333.983633660115</v>
      </c>
      <c r="Z61" s="4">
        <f t="shared" si="11"/>
        <v>80000</v>
      </c>
    </row>
    <row r="62" spans="1:26">
      <c r="A62" s="7">
        <f t="shared" si="4"/>
        <v>49</v>
      </c>
      <c r="B62" s="8">
        <f t="shared" si="5"/>
        <v>92333.983633660115</v>
      </c>
      <c r="C62" s="8">
        <f t="shared" si="6"/>
        <v>276.23250103736655</v>
      </c>
      <c r="D62" s="8">
        <f t="shared" si="7"/>
        <v>92610.216134697475</v>
      </c>
      <c r="E62" s="8">
        <f t="shared" si="0"/>
        <v>400000</v>
      </c>
      <c r="F62" s="8">
        <f t="shared" si="8"/>
        <v>80000</v>
      </c>
      <c r="G62" s="8">
        <f t="shared" si="1"/>
        <v>12610.216134697475</v>
      </c>
      <c r="H62" s="8">
        <f t="shared" si="2"/>
        <v>-12610.216134697475</v>
      </c>
      <c r="I62" s="9" t="str">
        <f t="shared" si="3"/>
        <v>Deposit / sell</v>
      </c>
      <c r="K62" s="3"/>
      <c r="L62" s="4"/>
      <c r="M62" s="4"/>
      <c r="X62" s="3">
        <f t="shared" si="9"/>
        <v>49</v>
      </c>
      <c r="Y62" s="4">
        <f t="shared" si="10"/>
        <v>92610.216134697475</v>
      </c>
      <c r="Z62" s="4">
        <f t="shared" si="11"/>
        <v>80000</v>
      </c>
    </row>
    <row r="63" spans="1:26">
      <c r="A63" s="7">
        <f t="shared" si="4"/>
        <v>50</v>
      </c>
      <c r="B63" s="8">
        <f t="shared" si="5"/>
        <v>92610.216134697475</v>
      </c>
      <c r="C63" s="8">
        <f t="shared" si="6"/>
        <v>277.05889660296998</v>
      </c>
      <c r="D63" s="8">
        <f t="shared" si="7"/>
        <v>92887.275031300451</v>
      </c>
      <c r="E63" s="8">
        <f t="shared" si="0"/>
        <v>400000</v>
      </c>
      <c r="F63" s="8">
        <f t="shared" si="8"/>
        <v>80000</v>
      </c>
      <c r="G63" s="8">
        <f t="shared" si="1"/>
        <v>12887.275031300451</v>
      </c>
      <c r="H63" s="8">
        <f t="shared" si="2"/>
        <v>-12887.275031300451</v>
      </c>
      <c r="I63" s="9" t="str">
        <f t="shared" si="3"/>
        <v>Deposit / sell</v>
      </c>
      <c r="K63" s="3"/>
      <c r="L63" s="4"/>
      <c r="M63" s="4"/>
      <c r="X63" s="3">
        <f t="shared" si="9"/>
        <v>50</v>
      </c>
      <c r="Y63" s="4">
        <f t="shared" si="10"/>
        <v>92887.275031300451</v>
      </c>
      <c r="Z63" s="4">
        <f t="shared" si="11"/>
        <v>80000</v>
      </c>
    </row>
    <row r="64" spans="1:26">
      <c r="A64" s="7">
        <f t="shared" si="4"/>
        <v>51</v>
      </c>
      <c r="B64" s="8">
        <f t="shared" si="5"/>
        <v>92887.275031300451</v>
      </c>
      <c r="C64" s="8">
        <f t="shared" si="6"/>
        <v>277.88776446864051</v>
      </c>
      <c r="D64" s="8">
        <f t="shared" si="7"/>
        <v>93165.162795769094</v>
      </c>
      <c r="E64" s="8">
        <f t="shared" si="0"/>
        <v>400000</v>
      </c>
      <c r="F64" s="8">
        <f t="shared" si="8"/>
        <v>80000</v>
      </c>
      <c r="G64" s="8">
        <f t="shared" si="1"/>
        <v>13165.162795769094</v>
      </c>
      <c r="H64" s="8">
        <f t="shared" si="2"/>
        <v>-13165.162795769094</v>
      </c>
      <c r="I64" s="9" t="str">
        <f t="shared" si="3"/>
        <v>Deposit / sell</v>
      </c>
      <c r="K64" s="3"/>
      <c r="L64" s="4"/>
      <c r="M64" s="4"/>
      <c r="X64" s="3">
        <f t="shared" si="9"/>
        <v>51</v>
      </c>
      <c r="Y64" s="4">
        <f t="shared" si="10"/>
        <v>93165.162795769094</v>
      </c>
      <c r="Z64" s="4">
        <f t="shared" si="11"/>
        <v>80000</v>
      </c>
    </row>
    <row r="65" spans="1:26">
      <c r="A65" s="7">
        <f t="shared" si="4"/>
        <v>52</v>
      </c>
      <c r="B65" s="8">
        <f t="shared" si="5"/>
        <v>93165.162795769094</v>
      </c>
      <c r="C65" s="8">
        <f t="shared" si="6"/>
        <v>278.71911203067589</v>
      </c>
      <c r="D65" s="8">
        <f t="shared" si="7"/>
        <v>93443.881907799776</v>
      </c>
      <c r="E65" s="8">
        <f t="shared" si="0"/>
        <v>400000</v>
      </c>
      <c r="F65" s="8">
        <f t="shared" si="8"/>
        <v>80000</v>
      </c>
      <c r="G65" s="8">
        <f t="shared" si="1"/>
        <v>13443.881907799776</v>
      </c>
      <c r="H65" s="8">
        <f t="shared" si="2"/>
        <v>-13443.881907799776</v>
      </c>
      <c r="I65" s="9" t="str">
        <f t="shared" si="3"/>
        <v>Deposit / sell</v>
      </c>
      <c r="K65" s="3"/>
      <c r="L65" s="4"/>
      <c r="M65" s="4"/>
      <c r="X65" s="3">
        <f t="shared" si="9"/>
        <v>52</v>
      </c>
      <c r="Y65" s="4">
        <f t="shared" si="10"/>
        <v>93443.881907799776</v>
      </c>
      <c r="Z65" s="4">
        <f t="shared" si="11"/>
        <v>80000</v>
      </c>
    </row>
    <row r="66" spans="1:26">
      <c r="A66" s="7">
        <f t="shared" si="4"/>
        <v>53</v>
      </c>
      <c r="B66" s="8">
        <f t="shared" si="5"/>
        <v>93443.881907799776</v>
      </c>
      <c r="C66" s="8">
        <f t="shared" si="6"/>
        <v>279.55294670750101</v>
      </c>
      <c r="D66" s="8">
        <f t="shared" si="7"/>
        <v>93723.434854507272</v>
      </c>
      <c r="E66" s="8">
        <f t="shared" si="0"/>
        <v>400000</v>
      </c>
      <c r="F66" s="8">
        <f t="shared" si="8"/>
        <v>80000</v>
      </c>
      <c r="G66" s="8">
        <f t="shared" si="1"/>
        <v>13723.434854507272</v>
      </c>
      <c r="H66" s="8">
        <f t="shared" si="2"/>
        <v>-13723.434854507272</v>
      </c>
      <c r="I66" s="9" t="str">
        <f t="shared" si="3"/>
        <v>Deposit / sell</v>
      </c>
      <c r="K66" s="3"/>
      <c r="L66" s="4"/>
      <c r="M66" s="4"/>
      <c r="X66" s="3">
        <f t="shared" si="9"/>
        <v>53</v>
      </c>
      <c r="Y66" s="4">
        <f t="shared" si="10"/>
        <v>93723.434854507272</v>
      </c>
      <c r="Z66" s="4">
        <f t="shared" si="11"/>
        <v>80000</v>
      </c>
    </row>
    <row r="67" spans="1:26">
      <c r="A67" s="7">
        <f t="shared" si="4"/>
        <v>54</v>
      </c>
      <c r="B67" s="8">
        <f t="shared" si="5"/>
        <v>93723.434854507272</v>
      </c>
      <c r="C67" s="8">
        <f t="shared" si="6"/>
        <v>280.38927593973426</v>
      </c>
      <c r="D67" s="8">
        <f t="shared" si="7"/>
        <v>94003.824130446999</v>
      </c>
      <c r="E67" s="8">
        <f t="shared" si="0"/>
        <v>400000</v>
      </c>
      <c r="F67" s="8">
        <f t="shared" si="8"/>
        <v>80000</v>
      </c>
      <c r="G67" s="8">
        <f t="shared" si="1"/>
        <v>14003.824130446999</v>
      </c>
      <c r="H67" s="8">
        <f t="shared" si="2"/>
        <v>-14003.824130446999</v>
      </c>
      <c r="I67" s="9" t="str">
        <f t="shared" si="3"/>
        <v>Deposit / sell</v>
      </c>
      <c r="K67" s="3"/>
      <c r="L67" s="4"/>
      <c r="M67" s="4"/>
      <c r="X67" s="3">
        <f t="shared" si="9"/>
        <v>54</v>
      </c>
      <c r="Y67" s="4">
        <f t="shared" si="10"/>
        <v>94003.824130446999</v>
      </c>
      <c r="Z67" s="4">
        <f t="shared" si="11"/>
        <v>80000</v>
      </c>
    </row>
    <row r="68" spans="1:26">
      <c r="A68" s="7">
        <f t="shared" si="4"/>
        <v>55</v>
      </c>
      <c r="B68" s="8">
        <f t="shared" si="5"/>
        <v>94003.824130446999</v>
      </c>
      <c r="C68" s="8">
        <f t="shared" si="6"/>
        <v>281.22810719025392</v>
      </c>
      <c r="D68" s="8">
        <f t="shared" si="7"/>
        <v>94285.052237637254</v>
      </c>
      <c r="E68" s="8">
        <f t="shared" si="0"/>
        <v>400000</v>
      </c>
      <c r="F68" s="8">
        <f t="shared" si="8"/>
        <v>80000</v>
      </c>
      <c r="G68" s="8">
        <f t="shared" si="1"/>
        <v>14285.052237637254</v>
      </c>
      <c r="H68" s="8">
        <f t="shared" si="2"/>
        <v>-14285.052237637254</v>
      </c>
      <c r="I68" s="9" t="str">
        <f t="shared" si="3"/>
        <v>Deposit / sell</v>
      </c>
      <c r="K68" s="3"/>
      <c r="L68" s="4"/>
      <c r="M68" s="4"/>
      <c r="X68" s="3">
        <f t="shared" si="9"/>
        <v>55</v>
      </c>
      <c r="Y68" s="4">
        <f t="shared" si="10"/>
        <v>94285.052237637254</v>
      </c>
      <c r="Z68" s="4">
        <f t="shared" si="11"/>
        <v>80000</v>
      </c>
    </row>
    <row r="69" spans="1:26">
      <c r="A69" s="7">
        <f t="shared" si="4"/>
        <v>56</v>
      </c>
      <c r="B69" s="8">
        <f t="shared" si="5"/>
        <v>94285.052237637254</v>
      </c>
      <c r="C69" s="8">
        <f t="shared" si="6"/>
        <v>282.06944794426482</v>
      </c>
      <c r="D69" s="8">
        <f t="shared" si="7"/>
        <v>94567.121685581515</v>
      </c>
      <c r="E69" s="8">
        <f t="shared" si="0"/>
        <v>400000</v>
      </c>
      <c r="F69" s="8">
        <f t="shared" si="8"/>
        <v>80000</v>
      </c>
      <c r="G69" s="8">
        <f t="shared" si="1"/>
        <v>14567.121685581515</v>
      </c>
      <c r="H69" s="8">
        <f t="shared" si="2"/>
        <v>-14567.121685581515</v>
      </c>
      <c r="I69" s="9" t="str">
        <f t="shared" si="3"/>
        <v>Deposit / sell</v>
      </c>
      <c r="K69" s="3"/>
      <c r="L69" s="4"/>
      <c r="M69" s="4"/>
      <c r="X69" s="3">
        <f t="shared" si="9"/>
        <v>56</v>
      </c>
      <c r="Y69" s="4">
        <f t="shared" si="10"/>
        <v>94567.121685581515</v>
      </c>
      <c r="Z69" s="4">
        <f t="shared" si="11"/>
        <v>80000</v>
      </c>
    </row>
    <row r="70" spans="1:26">
      <c r="A70" s="7">
        <f t="shared" si="4"/>
        <v>57</v>
      </c>
      <c r="B70" s="8">
        <f t="shared" si="5"/>
        <v>94567.121685581515</v>
      </c>
      <c r="C70" s="8">
        <f t="shared" si="6"/>
        <v>282.91330570936469</v>
      </c>
      <c r="D70" s="8">
        <f t="shared" si="7"/>
        <v>94850.034991290886</v>
      </c>
      <c r="E70" s="8">
        <f t="shared" si="0"/>
        <v>400000</v>
      </c>
      <c r="F70" s="8">
        <f t="shared" si="8"/>
        <v>80000</v>
      </c>
      <c r="G70" s="8">
        <f t="shared" si="1"/>
        <v>14850.034991290886</v>
      </c>
      <c r="H70" s="8">
        <f t="shared" si="2"/>
        <v>-14850.034991290886</v>
      </c>
      <c r="I70" s="9" t="str">
        <f t="shared" si="3"/>
        <v>Deposit / sell</v>
      </c>
      <c r="K70" s="3"/>
      <c r="L70" s="4"/>
      <c r="M70" s="4"/>
      <c r="X70" s="3">
        <f t="shared" si="9"/>
        <v>57</v>
      </c>
      <c r="Y70" s="4">
        <f t="shared" si="10"/>
        <v>94850.034991290886</v>
      </c>
      <c r="Z70" s="4">
        <f t="shared" si="11"/>
        <v>80000</v>
      </c>
    </row>
    <row r="71" spans="1:26">
      <c r="A71" s="7">
        <f t="shared" si="4"/>
        <v>58</v>
      </c>
      <c r="B71" s="8">
        <f t="shared" si="5"/>
        <v>94850.034991290886</v>
      </c>
      <c r="C71" s="8">
        <f t="shared" si="6"/>
        <v>283.75968801561191</v>
      </c>
      <c r="D71" s="8">
        <f t="shared" si="7"/>
        <v>95133.794679306491</v>
      </c>
      <c r="E71" s="8">
        <f t="shared" si="0"/>
        <v>400000</v>
      </c>
      <c r="F71" s="8">
        <f t="shared" si="8"/>
        <v>80000</v>
      </c>
      <c r="G71" s="8">
        <f t="shared" si="1"/>
        <v>15133.794679306491</v>
      </c>
      <c r="H71" s="8">
        <f t="shared" si="2"/>
        <v>-15133.794679306491</v>
      </c>
      <c r="I71" s="9" t="str">
        <f t="shared" si="3"/>
        <v>Deposit / sell</v>
      </c>
      <c r="K71" s="3"/>
      <c r="L71" s="4"/>
      <c r="M71" s="4"/>
      <c r="X71" s="3">
        <f t="shared" si="9"/>
        <v>58</v>
      </c>
      <c r="Y71" s="4">
        <f t="shared" si="10"/>
        <v>95133.794679306491</v>
      </c>
      <c r="Z71" s="4">
        <f t="shared" si="11"/>
        <v>80000</v>
      </c>
    </row>
    <row r="72" spans="1:26">
      <c r="A72" s="7">
        <f t="shared" si="4"/>
        <v>59</v>
      </c>
      <c r="B72" s="8">
        <f t="shared" si="5"/>
        <v>95133.794679306491</v>
      </c>
      <c r="C72" s="8">
        <f t="shared" si="6"/>
        <v>284.60860241559192</v>
      </c>
      <c r="D72" s="8">
        <f t="shared" si="7"/>
        <v>95418.403281722087</v>
      </c>
      <c r="E72" s="8">
        <f t="shared" si="0"/>
        <v>400000</v>
      </c>
      <c r="F72" s="8">
        <f t="shared" si="8"/>
        <v>80000</v>
      </c>
      <c r="G72" s="8">
        <f t="shared" si="1"/>
        <v>15418.403281722087</v>
      </c>
      <c r="H72" s="8">
        <f t="shared" si="2"/>
        <v>-15418.403281722087</v>
      </c>
      <c r="I72" s="9" t="str">
        <f t="shared" si="3"/>
        <v>Deposit / sell</v>
      </c>
      <c r="K72" s="3"/>
      <c r="L72" s="4"/>
      <c r="M72" s="4"/>
      <c r="X72" s="3">
        <f t="shared" si="9"/>
        <v>59</v>
      </c>
      <c r="Y72" s="4">
        <f t="shared" si="10"/>
        <v>95418.403281722087</v>
      </c>
      <c r="Z72" s="4">
        <f t="shared" si="11"/>
        <v>80000</v>
      </c>
    </row>
    <row r="73" spans="1:26">
      <c r="A73" s="7">
        <f t="shared" si="4"/>
        <v>60</v>
      </c>
      <c r="B73" s="8">
        <f t="shared" si="5"/>
        <v>95418.403281722087</v>
      </c>
      <c r="C73" s="8">
        <f t="shared" si="6"/>
        <v>285.46005648448528</v>
      </c>
      <c r="D73" s="8">
        <f t="shared" si="7"/>
        <v>95703.863338206575</v>
      </c>
      <c r="E73" s="8">
        <f t="shared" si="0"/>
        <v>400000</v>
      </c>
      <c r="F73" s="8">
        <f t="shared" si="8"/>
        <v>80000</v>
      </c>
      <c r="G73" s="8">
        <f t="shared" si="1"/>
        <v>15703.863338206575</v>
      </c>
      <c r="H73" s="8">
        <f t="shared" si="2"/>
        <v>-15703.863338206575</v>
      </c>
      <c r="I73" s="9" t="str">
        <f t="shared" si="3"/>
        <v>Deposit / sell</v>
      </c>
      <c r="X73" s="3">
        <f t="shared" si="9"/>
        <v>60</v>
      </c>
      <c r="Y73" s="4">
        <f t="shared" si="10"/>
        <v>95703.863338206575</v>
      </c>
      <c r="Z73" s="4">
        <f t="shared" si="11"/>
        <v>80000</v>
      </c>
    </row>
    <row r="74" spans="1:26">
      <c r="A74" s="7">
        <f t="shared" si="4"/>
        <v>61</v>
      </c>
      <c r="B74" s="8">
        <f t="shared" si="5"/>
        <v>95703.863338206575</v>
      </c>
      <c r="C74" s="8">
        <f t="shared" si="6"/>
        <v>286.31405782013468</v>
      </c>
      <c r="D74" s="8">
        <f t="shared" si="7"/>
        <v>95990.177396026716</v>
      </c>
      <c r="E74" s="8">
        <f t="shared" si="0"/>
        <v>400000</v>
      </c>
      <c r="F74" s="8">
        <f t="shared" si="8"/>
        <v>80000</v>
      </c>
      <c r="G74" s="8">
        <f t="shared" si="1"/>
        <v>15990.177396026716</v>
      </c>
      <c r="H74" s="8">
        <f t="shared" si="2"/>
        <v>-15990.177396026716</v>
      </c>
      <c r="I74" s="9" t="str">
        <f t="shared" si="3"/>
        <v>Deposit / sell</v>
      </c>
      <c r="X74" s="3">
        <f t="shared" si="9"/>
        <v>61</v>
      </c>
      <c r="Y74" s="4">
        <f t="shared" si="10"/>
        <v>95990.177396026716</v>
      </c>
      <c r="Z74" s="4">
        <f t="shared" si="11"/>
        <v>80000</v>
      </c>
    </row>
    <row r="75" spans="1:26">
      <c r="A75" s="7">
        <f t="shared" si="4"/>
        <v>62</v>
      </c>
      <c r="B75" s="8">
        <f t="shared" si="5"/>
        <v>95990.177396026716</v>
      </c>
      <c r="C75" s="8">
        <f t="shared" si="6"/>
        <v>287.17061404311329</v>
      </c>
      <c r="D75" s="8">
        <f t="shared" si="7"/>
        <v>96277.348010069836</v>
      </c>
      <c r="E75" s="8">
        <f t="shared" si="0"/>
        <v>400000</v>
      </c>
      <c r="F75" s="8">
        <f t="shared" si="8"/>
        <v>80000</v>
      </c>
      <c r="G75" s="8">
        <f t="shared" si="1"/>
        <v>16277.348010069836</v>
      </c>
      <c r="H75" s="8">
        <f t="shared" si="2"/>
        <v>-16277.348010069836</v>
      </c>
      <c r="I75" s="9" t="str">
        <f t="shared" si="3"/>
        <v>Deposit / sell</v>
      </c>
      <c r="X75" s="3">
        <f t="shared" si="9"/>
        <v>62</v>
      </c>
      <c r="Y75" s="4">
        <f t="shared" si="10"/>
        <v>96277.348010069836</v>
      </c>
      <c r="Z75" s="4">
        <f t="shared" si="11"/>
        <v>80000</v>
      </c>
    </row>
    <row r="76" spans="1:26">
      <c r="A76" s="7">
        <f t="shared" si="4"/>
        <v>63</v>
      </c>
      <c r="B76" s="8">
        <f t="shared" si="5"/>
        <v>96277.348010069836</v>
      </c>
      <c r="C76" s="8">
        <f t="shared" si="6"/>
        <v>288.02973279679225</v>
      </c>
      <c r="D76" s="8">
        <f t="shared" si="7"/>
        <v>96565.377742866622</v>
      </c>
      <c r="E76" s="8">
        <f t="shared" si="0"/>
        <v>400000</v>
      </c>
      <c r="F76" s="8">
        <f t="shared" si="8"/>
        <v>80000</v>
      </c>
      <c r="G76" s="8">
        <f t="shared" si="1"/>
        <v>16565.377742866622</v>
      </c>
      <c r="H76" s="8">
        <f t="shared" si="2"/>
        <v>-16565.377742866622</v>
      </c>
      <c r="I76" s="9" t="str">
        <f t="shared" si="3"/>
        <v>Deposit / sell</v>
      </c>
      <c r="X76" s="3">
        <f t="shared" si="9"/>
        <v>63</v>
      </c>
      <c r="Y76" s="4">
        <f t="shared" si="10"/>
        <v>96565.377742866622</v>
      </c>
      <c r="Z76" s="4">
        <f t="shared" si="11"/>
        <v>80000</v>
      </c>
    </row>
    <row r="77" spans="1:26">
      <c r="A77" s="7">
        <f t="shared" si="4"/>
        <v>64</v>
      </c>
      <c r="B77" s="8">
        <f t="shared" si="5"/>
        <v>96565.377742866622</v>
      </c>
      <c r="C77" s="8">
        <f t="shared" si="6"/>
        <v>288.89142174740931</v>
      </c>
      <c r="D77" s="8">
        <f t="shared" si="7"/>
        <v>96854.26916461403</v>
      </c>
      <c r="E77" s="8">
        <f t="shared" ref="E77:E140" si="12">IF(ISNUMBER($A77),$B$8*$B$5,NA())</f>
        <v>400000</v>
      </c>
      <c r="F77" s="8">
        <f t="shared" si="8"/>
        <v>80000</v>
      </c>
      <c r="G77" s="8">
        <f t="shared" ref="G77:G140" si="13">IF(ISNUMBER($A77),MAX(0,D77-F77),NA())</f>
        <v>16854.26916461403</v>
      </c>
      <c r="H77" s="8">
        <f t="shared" ref="H77:H140" si="14">IF(ISNUMBER($A77),F77-D77,NA())</f>
        <v>-16854.26916461403</v>
      </c>
      <c r="I77" s="9" t="str">
        <f t="shared" ref="I77:I140" si="15">IF(ISNUMBER($A77),IF(G77&gt;0,"Deposit / sell","OK"),NA())</f>
        <v>Deposit / sell</v>
      </c>
      <c r="X77" s="3">
        <f t="shared" si="9"/>
        <v>64</v>
      </c>
      <c r="Y77" s="4">
        <f t="shared" si="10"/>
        <v>96854.26916461403</v>
      </c>
      <c r="Z77" s="4">
        <f t="shared" si="11"/>
        <v>80000</v>
      </c>
    </row>
    <row r="78" spans="1:26">
      <c r="A78" s="7">
        <f t="shared" ref="A78:A141" si="16">IF(ROW()-12&lt;=$B$9,ROW()-13,NA())</f>
        <v>65</v>
      </c>
      <c r="B78" s="8">
        <f t="shared" ref="B78:B141" si="17">IF(ISNUMBER($A78),D77,NA())</f>
        <v>96854.26916461403</v>
      </c>
      <c r="C78" s="8">
        <f t="shared" ref="C78:C141" si="18">IF(ISNUMBER($A78),B78*($B$7/12),NA())</f>
        <v>289.75568858413698</v>
      </c>
      <c r="D78" s="8">
        <f t="shared" ref="D78:D141" si="19">IF(ISNUMBER($A78),B78+C78,NA())</f>
        <v>97144.024853198163</v>
      </c>
      <c r="E78" s="8">
        <f t="shared" si="12"/>
        <v>400000</v>
      </c>
      <c r="F78" s="8">
        <f t="shared" ref="F78:F141" si="20">IF(ISNUMBER($A78),MIN($B$6,E78),NA())</f>
        <v>80000</v>
      </c>
      <c r="G78" s="8">
        <f t="shared" si="13"/>
        <v>17144.024853198163</v>
      </c>
      <c r="H78" s="8">
        <f t="shared" si="14"/>
        <v>-17144.024853198163</v>
      </c>
      <c r="I78" s="9" t="str">
        <f t="shared" si="15"/>
        <v>Deposit / sell</v>
      </c>
      <c r="X78" s="3">
        <f t="shared" ref="X78:X141" si="21">IF(ISNUMBER($A78),$A78,NA())</f>
        <v>65</v>
      </c>
      <c r="Y78" s="4">
        <f t="shared" ref="Y78:Y141" si="22">IF(ISNUMBER($A78),$D78,NA())</f>
        <v>97144.024853198163</v>
      </c>
      <c r="Z78" s="4">
        <f t="shared" ref="Z78:Z141" si="23">IF(ISNUMBER($A78),$F78,NA())</f>
        <v>80000</v>
      </c>
    </row>
    <row r="79" spans="1:26">
      <c r="A79" s="7">
        <f t="shared" si="16"/>
        <v>66</v>
      </c>
      <c r="B79" s="8">
        <f t="shared" si="17"/>
        <v>97144.024853198163</v>
      </c>
      <c r="C79" s="8">
        <f t="shared" si="18"/>
        <v>290.62254101915119</v>
      </c>
      <c r="D79" s="8">
        <f t="shared" si="19"/>
        <v>97434.647394217318</v>
      </c>
      <c r="E79" s="8">
        <f t="shared" si="12"/>
        <v>400000</v>
      </c>
      <c r="F79" s="8">
        <f t="shared" si="20"/>
        <v>80000</v>
      </c>
      <c r="G79" s="8">
        <f t="shared" si="13"/>
        <v>17434.647394217318</v>
      </c>
      <c r="H79" s="8">
        <f t="shared" si="14"/>
        <v>-17434.647394217318</v>
      </c>
      <c r="I79" s="9" t="str">
        <f t="shared" si="15"/>
        <v>Deposit / sell</v>
      </c>
      <c r="X79" s="3">
        <f t="shared" si="21"/>
        <v>66</v>
      </c>
      <c r="Y79" s="4">
        <f t="shared" si="22"/>
        <v>97434.647394217318</v>
      </c>
      <c r="Z79" s="4">
        <f t="shared" si="23"/>
        <v>80000</v>
      </c>
    </row>
    <row r="80" spans="1:26">
      <c r="A80" s="7">
        <f t="shared" si="16"/>
        <v>67</v>
      </c>
      <c r="B80" s="8">
        <f t="shared" si="17"/>
        <v>97434.647394217318</v>
      </c>
      <c r="C80" s="8">
        <f t="shared" si="18"/>
        <v>291.49198678770017</v>
      </c>
      <c r="D80" s="8">
        <f t="shared" si="19"/>
        <v>97726.139381005021</v>
      </c>
      <c r="E80" s="8">
        <f t="shared" si="12"/>
        <v>400000</v>
      </c>
      <c r="F80" s="8">
        <f t="shared" si="20"/>
        <v>80000</v>
      </c>
      <c r="G80" s="8">
        <f t="shared" si="13"/>
        <v>17726.139381005021</v>
      </c>
      <c r="H80" s="8">
        <f t="shared" si="14"/>
        <v>-17726.139381005021</v>
      </c>
      <c r="I80" s="9" t="str">
        <f t="shared" si="15"/>
        <v>Deposit / sell</v>
      </c>
      <c r="X80" s="3">
        <f t="shared" si="21"/>
        <v>67</v>
      </c>
      <c r="Y80" s="4">
        <f t="shared" si="22"/>
        <v>97726.139381005021</v>
      </c>
      <c r="Z80" s="4">
        <f t="shared" si="23"/>
        <v>80000</v>
      </c>
    </row>
    <row r="81" spans="1:26">
      <c r="A81" s="7">
        <f t="shared" si="16"/>
        <v>68</v>
      </c>
      <c r="B81" s="8">
        <f t="shared" si="17"/>
        <v>97726.139381005021</v>
      </c>
      <c r="C81" s="8">
        <f t="shared" si="18"/>
        <v>292.36403364817335</v>
      </c>
      <c r="D81" s="8">
        <f t="shared" si="19"/>
        <v>98018.503414653198</v>
      </c>
      <c r="E81" s="8">
        <f t="shared" si="12"/>
        <v>400000</v>
      </c>
      <c r="F81" s="8">
        <f t="shared" si="20"/>
        <v>80000</v>
      </c>
      <c r="G81" s="8">
        <f t="shared" si="13"/>
        <v>18018.503414653198</v>
      </c>
      <c r="H81" s="8">
        <f t="shared" si="14"/>
        <v>-18018.503414653198</v>
      </c>
      <c r="I81" s="9" t="str">
        <f t="shared" si="15"/>
        <v>Deposit / sell</v>
      </c>
      <c r="X81" s="3">
        <f t="shared" si="21"/>
        <v>68</v>
      </c>
      <c r="Y81" s="4">
        <f t="shared" si="22"/>
        <v>98018.503414653198</v>
      </c>
      <c r="Z81" s="4">
        <f t="shared" si="23"/>
        <v>80000</v>
      </c>
    </row>
    <row r="82" spans="1:26">
      <c r="A82" s="7">
        <f t="shared" si="16"/>
        <v>69</v>
      </c>
      <c r="B82" s="8">
        <f t="shared" si="17"/>
        <v>98018.503414653198</v>
      </c>
      <c r="C82" s="8">
        <f t="shared" si="18"/>
        <v>293.23868938217083</v>
      </c>
      <c r="D82" s="8">
        <f t="shared" si="19"/>
        <v>98311.742104035366</v>
      </c>
      <c r="E82" s="8">
        <f t="shared" si="12"/>
        <v>400000</v>
      </c>
      <c r="F82" s="8">
        <f t="shared" si="20"/>
        <v>80000</v>
      </c>
      <c r="G82" s="8">
        <f t="shared" si="13"/>
        <v>18311.742104035366</v>
      </c>
      <c r="H82" s="8">
        <f t="shared" si="14"/>
        <v>-18311.742104035366</v>
      </c>
      <c r="I82" s="9" t="str">
        <f t="shared" si="15"/>
        <v>Deposit / sell</v>
      </c>
      <c r="X82" s="3">
        <f t="shared" si="21"/>
        <v>69</v>
      </c>
      <c r="Y82" s="4">
        <f t="shared" si="22"/>
        <v>98311.742104035366</v>
      </c>
      <c r="Z82" s="4">
        <f t="shared" si="23"/>
        <v>80000</v>
      </c>
    </row>
    <row r="83" spans="1:26">
      <c r="A83" s="7">
        <f t="shared" si="16"/>
        <v>70</v>
      </c>
      <c r="B83" s="8">
        <f t="shared" si="17"/>
        <v>98311.742104035366</v>
      </c>
      <c r="C83" s="8">
        <f t="shared" si="18"/>
        <v>294.11596179457246</v>
      </c>
      <c r="D83" s="8">
        <f t="shared" si="19"/>
        <v>98605.858065829932</v>
      </c>
      <c r="E83" s="8">
        <f t="shared" si="12"/>
        <v>400000</v>
      </c>
      <c r="F83" s="8">
        <f t="shared" si="20"/>
        <v>80000</v>
      </c>
      <c r="G83" s="8">
        <f t="shared" si="13"/>
        <v>18605.858065829932</v>
      </c>
      <c r="H83" s="8">
        <f t="shared" si="14"/>
        <v>-18605.858065829932</v>
      </c>
      <c r="I83" s="9" t="str">
        <f t="shared" si="15"/>
        <v>Deposit / sell</v>
      </c>
      <c r="X83" s="3">
        <f t="shared" si="21"/>
        <v>70</v>
      </c>
      <c r="Y83" s="4">
        <f t="shared" si="22"/>
        <v>98605.858065829932</v>
      </c>
      <c r="Z83" s="4">
        <f t="shared" si="23"/>
        <v>80000</v>
      </c>
    </row>
    <row r="84" spans="1:26">
      <c r="A84" s="7">
        <f t="shared" si="16"/>
        <v>71</v>
      </c>
      <c r="B84" s="8">
        <f t="shared" si="17"/>
        <v>98605.858065829932</v>
      </c>
      <c r="C84" s="8">
        <f t="shared" si="18"/>
        <v>294.9958587136079</v>
      </c>
      <c r="D84" s="8">
        <f t="shared" si="19"/>
        <v>98900.853924543539</v>
      </c>
      <c r="E84" s="8">
        <f t="shared" si="12"/>
        <v>400000</v>
      </c>
      <c r="F84" s="8">
        <f t="shared" si="20"/>
        <v>80000</v>
      </c>
      <c r="G84" s="8">
        <f t="shared" si="13"/>
        <v>18900.853924543539</v>
      </c>
      <c r="H84" s="8">
        <f t="shared" si="14"/>
        <v>-18900.853924543539</v>
      </c>
      <c r="I84" s="9" t="str">
        <f t="shared" si="15"/>
        <v>Deposit / sell</v>
      </c>
      <c r="X84" s="3">
        <f t="shared" si="21"/>
        <v>71</v>
      </c>
      <c r="Y84" s="4">
        <f t="shared" si="22"/>
        <v>98900.853924543539</v>
      </c>
      <c r="Z84" s="4">
        <f t="shared" si="23"/>
        <v>80000</v>
      </c>
    </row>
    <row r="85" spans="1:26">
      <c r="A85" s="7">
        <f t="shared" si="16"/>
        <v>72</v>
      </c>
      <c r="B85" s="8">
        <f t="shared" si="17"/>
        <v>98900.853924543539</v>
      </c>
      <c r="C85" s="8">
        <f t="shared" si="18"/>
        <v>295.87838799092611</v>
      </c>
      <c r="D85" s="8">
        <f t="shared" si="19"/>
        <v>99196.73231253447</v>
      </c>
      <c r="E85" s="8">
        <f t="shared" si="12"/>
        <v>400000</v>
      </c>
      <c r="F85" s="8">
        <f t="shared" si="20"/>
        <v>80000</v>
      </c>
      <c r="G85" s="8">
        <f t="shared" si="13"/>
        <v>19196.73231253447</v>
      </c>
      <c r="H85" s="8">
        <f t="shared" si="14"/>
        <v>-19196.73231253447</v>
      </c>
      <c r="I85" s="9" t="str">
        <f t="shared" si="15"/>
        <v>Deposit / sell</v>
      </c>
      <c r="X85" s="3">
        <f t="shared" si="21"/>
        <v>72</v>
      </c>
      <c r="Y85" s="4">
        <f t="shared" si="22"/>
        <v>99196.73231253447</v>
      </c>
      <c r="Z85" s="4">
        <f t="shared" si="23"/>
        <v>80000</v>
      </c>
    </row>
    <row r="86" spans="1:26">
      <c r="A86" s="7">
        <f t="shared" si="16"/>
        <v>73</v>
      </c>
      <c r="B86" s="8">
        <f t="shared" si="17"/>
        <v>99196.73231253447</v>
      </c>
      <c r="C86" s="8">
        <f t="shared" si="18"/>
        <v>296.76355750166562</v>
      </c>
      <c r="D86" s="8">
        <f t="shared" si="19"/>
        <v>99493.495870036131</v>
      </c>
      <c r="E86" s="8">
        <f t="shared" si="12"/>
        <v>400000</v>
      </c>
      <c r="F86" s="8">
        <f t="shared" si="20"/>
        <v>80000</v>
      </c>
      <c r="G86" s="8">
        <f t="shared" si="13"/>
        <v>19493.495870036131</v>
      </c>
      <c r="H86" s="8">
        <f t="shared" si="14"/>
        <v>-19493.495870036131</v>
      </c>
      <c r="I86" s="9" t="str">
        <f t="shared" si="15"/>
        <v>Deposit / sell</v>
      </c>
      <c r="X86" s="3">
        <f t="shared" si="21"/>
        <v>73</v>
      </c>
      <c r="Y86" s="4">
        <f t="shared" si="22"/>
        <v>99493.495870036131</v>
      </c>
      <c r="Z86" s="4">
        <f t="shared" si="23"/>
        <v>80000</v>
      </c>
    </row>
    <row r="87" spans="1:26">
      <c r="A87" s="7">
        <f t="shared" si="16"/>
        <v>74</v>
      </c>
      <c r="B87" s="8">
        <f t="shared" si="17"/>
        <v>99493.495870036131</v>
      </c>
      <c r="C87" s="8">
        <f t="shared" si="18"/>
        <v>297.65137514452476</v>
      </c>
      <c r="D87" s="8">
        <f t="shared" si="19"/>
        <v>99791.147245180662</v>
      </c>
      <c r="E87" s="8">
        <f t="shared" si="12"/>
        <v>400000</v>
      </c>
      <c r="F87" s="8">
        <f t="shared" si="20"/>
        <v>80000</v>
      </c>
      <c r="G87" s="8">
        <f t="shared" si="13"/>
        <v>19791.147245180662</v>
      </c>
      <c r="H87" s="8">
        <f t="shared" si="14"/>
        <v>-19791.147245180662</v>
      </c>
      <c r="I87" s="9" t="str">
        <f t="shared" si="15"/>
        <v>Deposit / sell</v>
      </c>
      <c r="X87" s="3">
        <f t="shared" si="21"/>
        <v>74</v>
      </c>
      <c r="Y87" s="4">
        <f t="shared" si="22"/>
        <v>99791.147245180662</v>
      </c>
      <c r="Z87" s="4">
        <f t="shared" si="23"/>
        <v>80000</v>
      </c>
    </row>
    <row r="88" spans="1:26">
      <c r="A88" s="7">
        <f t="shared" si="16"/>
        <v>75</v>
      </c>
      <c r="B88" s="8">
        <f t="shared" si="17"/>
        <v>99791.147245180662</v>
      </c>
      <c r="C88" s="8">
        <f t="shared" si="18"/>
        <v>298.54184884183218</v>
      </c>
      <c r="D88" s="8">
        <f t="shared" si="19"/>
        <v>100089.6890940225</v>
      </c>
      <c r="E88" s="8">
        <f t="shared" si="12"/>
        <v>400000</v>
      </c>
      <c r="F88" s="8">
        <f t="shared" si="20"/>
        <v>80000</v>
      </c>
      <c r="G88" s="8">
        <f t="shared" si="13"/>
        <v>20089.689094022498</v>
      </c>
      <c r="H88" s="8">
        <f t="shared" si="14"/>
        <v>-20089.689094022498</v>
      </c>
      <c r="I88" s="9" t="str">
        <f t="shared" si="15"/>
        <v>Deposit / sell</v>
      </c>
      <c r="X88" s="3">
        <f t="shared" si="21"/>
        <v>75</v>
      </c>
      <c r="Y88" s="4">
        <f t="shared" si="22"/>
        <v>100089.6890940225</v>
      </c>
      <c r="Z88" s="4">
        <f t="shared" si="23"/>
        <v>80000</v>
      </c>
    </row>
    <row r="89" spans="1:26">
      <c r="A89" s="7">
        <f t="shared" si="16"/>
        <v>76</v>
      </c>
      <c r="B89" s="8">
        <f t="shared" si="17"/>
        <v>100089.6890940225</v>
      </c>
      <c r="C89" s="8">
        <f t="shared" si="18"/>
        <v>299.43498653961734</v>
      </c>
      <c r="D89" s="8">
        <f t="shared" si="19"/>
        <v>100389.12408056212</v>
      </c>
      <c r="E89" s="8">
        <f t="shared" si="12"/>
        <v>400000</v>
      </c>
      <c r="F89" s="8">
        <f t="shared" si="20"/>
        <v>80000</v>
      </c>
      <c r="G89" s="8">
        <f t="shared" si="13"/>
        <v>20389.12408056212</v>
      </c>
      <c r="H89" s="8">
        <f t="shared" si="14"/>
        <v>-20389.12408056212</v>
      </c>
      <c r="I89" s="9" t="str">
        <f t="shared" si="15"/>
        <v>Deposit / sell</v>
      </c>
      <c r="X89" s="3">
        <f t="shared" si="21"/>
        <v>76</v>
      </c>
      <c r="Y89" s="4">
        <f t="shared" si="22"/>
        <v>100389.12408056212</v>
      </c>
      <c r="Z89" s="4">
        <f t="shared" si="23"/>
        <v>80000</v>
      </c>
    </row>
    <row r="90" spans="1:26">
      <c r="A90" s="7">
        <f t="shared" si="16"/>
        <v>77</v>
      </c>
      <c r="B90" s="8">
        <f t="shared" si="17"/>
        <v>100389.12408056212</v>
      </c>
      <c r="C90" s="8">
        <f t="shared" si="18"/>
        <v>300.33079620768171</v>
      </c>
      <c r="D90" s="8">
        <f t="shared" si="19"/>
        <v>100689.4548767698</v>
      </c>
      <c r="E90" s="8">
        <f t="shared" si="12"/>
        <v>400000</v>
      </c>
      <c r="F90" s="8">
        <f t="shared" si="20"/>
        <v>80000</v>
      </c>
      <c r="G90" s="8">
        <f t="shared" si="13"/>
        <v>20689.4548767698</v>
      </c>
      <c r="H90" s="8">
        <f t="shared" si="14"/>
        <v>-20689.4548767698</v>
      </c>
      <c r="I90" s="9" t="str">
        <f t="shared" si="15"/>
        <v>Deposit / sell</v>
      </c>
      <c r="X90" s="3">
        <f t="shared" si="21"/>
        <v>77</v>
      </c>
      <c r="Y90" s="4">
        <f t="shared" si="22"/>
        <v>100689.4548767698</v>
      </c>
      <c r="Z90" s="4">
        <f t="shared" si="23"/>
        <v>80000</v>
      </c>
    </row>
    <row r="91" spans="1:26">
      <c r="A91" s="7">
        <f t="shared" si="16"/>
        <v>78</v>
      </c>
      <c r="B91" s="8">
        <f t="shared" si="17"/>
        <v>100689.4548767698</v>
      </c>
      <c r="C91" s="8">
        <f t="shared" si="18"/>
        <v>301.22928583966967</v>
      </c>
      <c r="D91" s="8">
        <f t="shared" si="19"/>
        <v>100990.68416260947</v>
      </c>
      <c r="E91" s="8">
        <f t="shared" si="12"/>
        <v>400000</v>
      </c>
      <c r="F91" s="8">
        <f t="shared" si="20"/>
        <v>80000</v>
      </c>
      <c r="G91" s="8">
        <f t="shared" si="13"/>
        <v>20990.684162609468</v>
      </c>
      <c r="H91" s="8">
        <f t="shared" si="14"/>
        <v>-20990.684162609468</v>
      </c>
      <c r="I91" s="9" t="str">
        <f t="shared" si="15"/>
        <v>Deposit / sell</v>
      </c>
      <c r="X91" s="3">
        <f t="shared" si="21"/>
        <v>78</v>
      </c>
      <c r="Y91" s="4">
        <f t="shared" si="22"/>
        <v>100990.68416260947</v>
      </c>
      <c r="Z91" s="4">
        <f t="shared" si="23"/>
        <v>80000</v>
      </c>
    </row>
    <row r="92" spans="1:26">
      <c r="A92" s="7">
        <f t="shared" si="16"/>
        <v>79</v>
      </c>
      <c r="B92" s="8">
        <f t="shared" si="17"/>
        <v>100990.68416260947</v>
      </c>
      <c r="C92" s="8">
        <f t="shared" si="18"/>
        <v>302.13046345314001</v>
      </c>
      <c r="D92" s="8">
        <f t="shared" si="19"/>
        <v>101292.81462606261</v>
      </c>
      <c r="E92" s="8">
        <f t="shared" si="12"/>
        <v>400000</v>
      </c>
      <c r="F92" s="8">
        <f t="shared" si="20"/>
        <v>80000</v>
      </c>
      <c r="G92" s="8">
        <f t="shared" si="13"/>
        <v>21292.814626062609</v>
      </c>
      <c r="H92" s="8">
        <f t="shared" si="14"/>
        <v>-21292.814626062609</v>
      </c>
      <c r="I92" s="9" t="str">
        <f t="shared" si="15"/>
        <v>Deposit / sell</v>
      </c>
      <c r="X92" s="3">
        <f t="shared" si="21"/>
        <v>79</v>
      </c>
      <c r="Y92" s="4">
        <f t="shared" si="22"/>
        <v>101292.81462606261</v>
      </c>
      <c r="Z92" s="4">
        <f t="shared" si="23"/>
        <v>80000</v>
      </c>
    </row>
    <row r="93" spans="1:26">
      <c r="A93" s="7">
        <f t="shared" si="16"/>
        <v>80</v>
      </c>
      <c r="B93" s="8">
        <f t="shared" si="17"/>
        <v>101292.81462606261</v>
      </c>
      <c r="C93" s="8">
        <f t="shared" si="18"/>
        <v>303.03433708963729</v>
      </c>
      <c r="D93" s="8">
        <f t="shared" si="19"/>
        <v>101595.84896315225</v>
      </c>
      <c r="E93" s="8">
        <f t="shared" si="12"/>
        <v>400000</v>
      </c>
      <c r="F93" s="8">
        <f t="shared" si="20"/>
        <v>80000</v>
      </c>
      <c r="G93" s="8">
        <f t="shared" si="13"/>
        <v>21595.848963152253</v>
      </c>
      <c r="H93" s="8">
        <f t="shared" si="14"/>
        <v>-21595.848963152253</v>
      </c>
      <c r="I93" s="9" t="str">
        <f t="shared" si="15"/>
        <v>Deposit / sell</v>
      </c>
      <c r="X93" s="3">
        <f t="shared" si="21"/>
        <v>80</v>
      </c>
      <c r="Y93" s="4">
        <f t="shared" si="22"/>
        <v>101595.84896315225</v>
      </c>
      <c r="Z93" s="4">
        <f t="shared" si="23"/>
        <v>80000</v>
      </c>
    </row>
    <row r="94" spans="1:26">
      <c r="A94" s="7">
        <f t="shared" si="16"/>
        <v>81</v>
      </c>
      <c r="B94" s="8">
        <f t="shared" si="17"/>
        <v>101595.84896315225</v>
      </c>
      <c r="C94" s="8">
        <f t="shared" si="18"/>
        <v>303.94091481476386</v>
      </c>
      <c r="D94" s="8">
        <f t="shared" si="19"/>
        <v>101899.78987796702</v>
      </c>
      <c r="E94" s="8">
        <f t="shared" si="12"/>
        <v>400000</v>
      </c>
      <c r="F94" s="8">
        <f t="shared" si="20"/>
        <v>80000</v>
      </c>
      <c r="G94" s="8">
        <f t="shared" si="13"/>
        <v>21899.789877967021</v>
      </c>
      <c r="H94" s="8">
        <f t="shared" si="14"/>
        <v>-21899.789877967021</v>
      </c>
      <c r="I94" s="9" t="str">
        <f t="shared" si="15"/>
        <v>Deposit / sell</v>
      </c>
      <c r="X94" s="3">
        <f t="shared" si="21"/>
        <v>81</v>
      </c>
      <c r="Y94" s="4">
        <f t="shared" si="22"/>
        <v>101899.78987796702</v>
      </c>
      <c r="Z94" s="4">
        <f t="shared" si="23"/>
        <v>80000</v>
      </c>
    </row>
    <row r="95" spans="1:26">
      <c r="A95" s="7">
        <f t="shared" si="16"/>
        <v>82</v>
      </c>
      <c r="B95" s="8">
        <f t="shared" si="17"/>
        <v>101899.78987796702</v>
      </c>
      <c r="C95" s="8">
        <f t="shared" si="18"/>
        <v>304.85020471825135</v>
      </c>
      <c r="D95" s="8">
        <f t="shared" si="19"/>
        <v>102204.64008268528</v>
      </c>
      <c r="E95" s="8">
        <f t="shared" si="12"/>
        <v>400000</v>
      </c>
      <c r="F95" s="8">
        <f t="shared" si="20"/>
        <v>80000</v>
      </c>
      <c r="G95" s="8">
        <f t="shared" si="13"/>
        <v>22204.640082685277</v>
      </c>
      <c r="H95" s="8">
        <f t="shared" si="14"/>
        <v>-22204.640082685277</v>
      </c>
      <c r="I95" s="9" t="str">
        <f t="shared" si="15"/>
        <v>Deposit / sell</v>
      </c>
      <c r="X95" s="3">
        <f t="shared" si="21"/>
        <v>82</v>
      </c>
      <c r="Y95" s="4">
        <f t="shared" si="22"/>
        <v>102204.64008268528</v>
      </c>
      <c r="Z95" s="4">
        <f t="shared" si="23"/>
        <v>80000</v>
      </c>
    </row>
    <row r="96" spans="1:26">
      <c r="A96" s="7">
        <f t="shared" si="16"/>
        <v>83</v>
      </c>
      <c r="B96" s="8">
        <f t="shared" si="17"/>
        <v>102204.64008268528</v>
      </c>
      <c r="C96" s="8">
        <f t="shared" si="18"/>
        <v>305.76221491403345</v>
      </c>
      <c r="D96" s="8">
        <f t="shared" si="19"/>
        <v>102510.40229759931</v>
      </c>
      <c r="E96" s="8">
        <f t="shared" si="12"/>
        <v>400000</v>
      </c>
      <c r="F96" s="8">
        <f t="shared" si="20"/>
        <v>80000</v>
      </c>
      <c r="G96" s="8">
        <f t="shared" si="13"/>
        <v>22510.402297599314</v>
      </c>
      <c r="H96" s="8">
        <f t="shared" si="14"/>
        <v>-22510.402297599314</v>
      </c>
      <c r="I96" s="9" t="str">
        <f t="shared" si="15"/>
        <v>Deposit / sell</v>
      </c>
      <c r="X96" s="3">
        <f t="shared" si="21"/>
        <v>83</v>
      </c>
      <c r="Y96" s="4">
        <f t="shared" si="22"/>
        <v>102510.40229759931</v>
      </c>
      <c r="Z96" s="4">
        <f t="shared" si="23"/>
        <v>80000</v>
      </c>
    </row>
    <row r="97" spans="1:26">
      <c r="A97" s="7">
        <f t="shared" si="16"/>
        <v>84</v>
      </c>
      <c r="B97" s="8">
        <f t="shared" si="17"/>
        <v>102510.40229759931</v>
      </c>
      <c r="C97" s="8">
        <f t="shared" si="18"/>
        <v>306.67695354031798</v>
      </c>
      <c r="D97" s="8">
        <f t="shared" si="19"/>
        <v>102817.07925113963</v>
      </c>
      <c r="E97" s="8">
        <f t="shared" si="12"/>
        <v>400000</v>
      </c>
      <c r="F97" s="8">
        <f t="shared" si="20"/>
        <v>80000</v>
      </c>
      <c r="G97" s="8">
        <f t="shared" si="13"/>
        <v>22817.079251139628</v>
      </c>
      <c r="H97" s="8">
        <f t="shared" si="14"/>
        <v>-22817.079251139628</v>
      </c>
      <c r="I97" s="9" t="str">
        <f t="shared" si="15"/>
        <v>Deposit / sell</v>
      </c>
      <c r="X97" s="3">
        <f t="shared" si="21"/>
        <v>84</v>
      </c>
      <c r="Y97" s="4">
        <f t="shared" si="22"/>
        <v>102817.07925113963</v>
      </c>
      <c r="Z97" s="4">
        <f t="shared" si="23"/>
        <v>80000</v>
      </c>
    </row>
    <row r="98" spans="1:26">
      <c r="A98" s="7">
        <f t="shared" si="16"/>
        <v>85</v>
      </c>
      <c r="B98" s="8">
        <f t="shared" si="17"/>
        <v>102817.07925113963</v>
      </c>
      <c r="C98" s="8">
        <f t="shared" si="18"/>
        <v>307.59442875965942</v>
      </c>
      <c r="D98" s="8">
        <f t="shared" si="19"/>
        <v>103124.67367989929</v>
      </c>
      <c r="E98" s="8">
        <f t="shared" si="12"/>
        <v>400000</v>
      </c>
      <c r="F98" s="8">
        <f t="shared" si="20"/>
        <v>80000</v>
      </c>
      <c r="G98" s="8">
        <f t="shared" si="13"/>
        <v>23124.673679899293</v>
      </c>
      <c r="H98" s="8">
        <f t="shared" si="14"/>
        <v>-23124.673679899293</v>
      </c>
      <c r="I98" s="9" t="str">
        <f t="shared" si="15"/>
        <v>Deposit / sell</v>
      </c>
      <c r="X98" s="3">
        <f t="shared" si="21"/>
        <v>85</v>
      </c>
      <c r="Y98" s="4">
        <f t="shared" si="22"/>
        <v>103124.67367989929</v>
      </c>
      <c r="Z98" s="4">
        <f t="shared" si="23"/>
        <v>80000</v>
      </c>
    </row>
    <row r="99" spans="1:26">
      <c r="A99" s="7">
        <f t="shared" si="16"/>
        <v>86</v>
      </c>
      <c r="B99" s="8">
        <f t="shared" si="17"/>
        <v>103124.67367989929</v>
      </c>
      <c r="C99" s="8">
        <f t="shared" si="18"/>
        <v>308.51464875903207</v>
      </c>
      <c r="D99" s="8">
        <f t="shared" si="19"/>
        <v>103433.18832865833</v>
      </c>
      <c r="E99" s="8">
        <f t="shared" si="12"/>
        <v>400000</v>
      </c>
      <c r="F99" s="8">
        <f t="shared" si="20"/>
        <v>80000</v>
      </c>
      <c r="G99" s="8">
        <f t="shared" si="13"/>
        <v>23433.188328658332</v>
      </c>
      <c r="H99" s="8">
        <f t="shared" si="14"/>
        <v>-23433.188328658332</v>
      </c>
      <c r="I99" s="9" t="str">
        <f t="shared" si="15"/>
        <v>Deposit / sell</v>
      </c>
      <c r="X99" s="3">
        <f t="shared" si="21"/>
        <v>86</v>
      </c>
      <c r="Y99" s="4">
        <f t="shared" si="22"/>
        <v>103433.18832865833</v>
      </c>
      <c r="Z99" s="4">
        <f t="shared" si="23"/>
        <v>80000</v>
      </c>
    </row>
    <row r="100" spans="1:26">
      <c r="A100" s="7">
        <f t="shared" si="16"/>
        <v>87</v>
      </c>
      <c r="B100" s="8">
        <f t="shared" si="17"/>
        <v>103433.18832865833</v>
      </c>
      <c r="C100" s="8">
        <f t="shared" si="18"/>
        <v>309.43762174990286</v>
      </c>
      <c r="D100" s="8">
        <f t="shared" si="19"/>
        <v>103742.62595040824</v>
      </c>
      <c r="E100" s="8">
        <f t="shared" si="12"/>
        <v>400000</v>
      </c>
      <c r="F100" s="8">
        <f t="shared" si="20"/>
        <v>80000</v>
      </c>
      <c r="G100" s="8">
        <f t="shared" si="13"/>
        <v>23742.625950408241</v>
      </c>
      <c r="H100" s="8">
        <f t="shared" si="14"/>
        <v>-23742.625950408241</v>
      </c>
      <c r="I100" s="9" t="str">
        <f t="shared" si="15"/>
        <v>Deposit / sell</v>
      </c>
      <c r="X100" s="3">
        <f t="shared" si="21"/>
        <v>87</v>
      </c>
      <c r="Y100" s="4">
        <f t="shared" si="22"/>
        <v>103742.62595040824</v>
      </c>
      <c r="Z100" s="4">
        <f t="shared" si="23"/>
        <v>80000</v>
      </c>
    </row>
    <row r="101" spans="1:26">
      <c r="A101" s="7">
        <f t="shared" si="16"/>
        <v>88</v>
      </c>
      <c r="B101" s="8">
        <f t="shared" si="17"/>
        <v>103742.62595040824</v>
      </c>
      <c r="C101" s="8">
        <f t="shared" si="18"/>
        <v>310.36335596830469</v>
      </c>
      <c r="D101" s="8">
        <f t="shared" si="19"/>
        <v>104052.98930637655</v>
      </c>
      <c r="E101" s="8">
        <f t="shared" si="12"/>
        <v>400000</v>
      </c>
      <c r="F101" s="8">
        <f t="shared" si="20"/>
        <v>80000</v>
      </c>
      <c r="G101" s="8">
        <f t="shared" si="13"/>
        <v>24052.989306376548</v>
      </c>
      <c r="H101" s="8">
        <f t="shared" si="14"/>
        <v>-24052.989306376548</v>
      </c>
      <c r="I101" s="9" t="str">
        <f t="shared" si="15"/>
        <v>Deposit / sell</v>
      </c>
      <c r="X101" s="3">
        <f t="shared" si="21"/>
        <v>88</v>
      </c>
      <c r="Y101" s="4">
        <f t="shared" si="22"/>
        <v>104052.98930637655</v>
      </c>
      <c r="Z101" s="4">
        <f t="shared" si="23"/>
        <v>80000</v>
      </c>
    </row>
    <row r="102" spans="1:26">
      <c r="A102" s="7">
        <f t="shared" si="16"/>
        <v>89</v>
      </c>
      <c r="B102" s="8">
        <f t="shared" si="17"/>
        <v>104052.98930637655</v>
      </c>
      <c r="C102" s="8">
        <f t="shared" si="18"/>
        <v>311.29185967490986</v>
      </c>
      <c r="D102" s="8">
        <f t="shared" si="19"/>
        <v>104364.28116605146</v>
      </c>
      <c r="E102" s="8">
        <f t="shared" si="12"/>
        <v>400000</v>
      </c>
      <c r="F102" s="8">
        <f t="shared" si="20"/>
        <v>80000</v>
      </c>
      <c r="G102" s="8">
        <f t="shared" si="13"/>
        <v>24364.281166051456</v>
      </c>
      <c r="H102" s="8">
        <f t="shared" si="14"/>
        <v>-24364.281166051456</v>
      </c>
      <c r="I102" s="9" t="str">
        <f t="shared" si="15"/>
        <v>Deposit / sell</v>
      </c>
      <c r="X102" s="3">
        <f t="shared" si="21"/>
        <v>89</v>
      </c>
      <c r="Y102" s="4">
        <f t="shared" si="22"/>
        <v>104364.28116605146</v>
      </c>
      <c r="Z102" s="4">
        <f t="shared" si="23"/>
        <v>80000</v>
      </c>
    </row>
    <row r="103" spans="1:26">
      <c r="A103" s="7">
        <f t="shared" si="16"/>
        <v>90</v>
      </c>
      <c r="B103" s="8">
        <f t="shared" si="17"/>
        <v>104364.28116605146</v>
      </c>
      <c r="C103" s="8">
        <f t="shared" si="18"/>
        <v>312.22314115510397</v>
      </c>
      <c r="D103" s="8">
        <f t="shared" si="19"/>
        <v>104676.50430720656</v>
      </c>
      <c r="E103" s="8">
        <f t="shared" si="12"/>
        <v>400000</v>
      </c>
      <c r="F103" s="8">
        <f t="shared" si="20"/>
        <v>80000</v>
      </c>
      <c r="G103" s="8">
        <f t="shared" si="13"/>
        <v>24676.50430720656</v>
      </c>
      <c r="H103" s="8">
        <f t="shared" si="14"/>
        <v>-24676.50430720656</v>
      </c>
      <c r="I103" s="9" t="str">
        <f t="shared" si="15"/>
        <v>Deposit / sell</v>
      </c>
      <c r="X103" s="3">
        <f t="shared" si="21"/>
        <v>90</v>
      </c>
      <c r="Y103" s="4">
        <f t="shared" si="22"/>
        <v>104676.50430720656</v>
      </c>
      <c r="Z103" s="4">
        <f t="shared" si="23"/>
        <v>80000</v>
      </c>
    </row>
    <row r="104" spans="1:26">
      <c r="A104" s="7">
        <f t="shared" si="16"/>
        <v>91</v>
      </c>
      <c r="B104" s="8">
        <f t="shared" si="17"/>
        <v>104676.50430720656</v>
      </c>
      <c r="C104" s="8">
        <f t="shared" si="18"/>
        <v>313.15720871905961</v>
      </c>
      <c r="D104" s="8">
        <f t="shared" si="19"/>
        <v>104989.66151592562</v>
      </c>
      <c r="E104" s="8">
        <f t="shared" si="12"/>
        <v>400000</v>
      </c>
      <c r="F104" s="8">
        <f t="shared" si="20"/>
        <v>80000</v>
      </c>
      <c r="G104" s="8">
        <f t="shared" si="13"/>
        <v>24989.661515925618</v>
      </c>
      <c r="H104" s="8">
        <f t="shared" si="14"/>
        <v>-24989.661515925618</v>
      </c>
      <c r="I104" s="9" t="str">
        <f t="shared" si="15"/>
        <v>Deposit / sell</v>
      </c>
      <c r="X104" s="3">
        <f t="shared" si="21"/>
        <v>91</v>
      </c>
      <c r="Y104" s="4">
        <f t="shared" si="22"/>
        <v>104989.66151592562</v>
      </c>
      <c r="Z104" s="4">
        <f t="shared" si="23"/>
        <v>80000</v>
      </c>
    </row>
    <row r="105" spans="1:26">
      <c r="A105" s="7">
        <f t="shared" si="16"/>
        <v>92</v>
      </c>
      <c r="B105" s="8">
        <f t="shared" si="17"/>
        <v>104989.66151592562</v>
      </c>
      <c r="C105" s="8">
        <f t="shared" si="18"/>
        <v>314.09407070181084</v>
      </c>
      <c r="D105" s="8">
        <f t="shared" si="19"/>
        <v>105303.75558662743</v>
      </c>
      <c r="E105" s="8">
        <f t="shared" si="12"/>
        <v>400000</v>
      </c>
      <c r="F105" s="8">
        <f t="shared" si="20"/>
        <v>80000</v>
      </c>
      <c r="G105" s="8">
        <f t="shared" si="13"/>
        <v>25303.755586627434</v>
      </c>
      <c r="H105" s="8">
        <f t="shared" si="14"/>
        <v>-25303.755586627434</v>
      </c>
      <c r="I105" s="9" t="str">
        <f t="shared" si="15"/>
        <v>Deposit / sell</v>
      </c>
      <c r="X105" s="3">
        <f t="shared" si="21"/>
        <v>92</v>
      </c>
      <c r="Y105" s="4">
        <f t="shared" si="22"/>
        <v>105303.75558662743</v>
      </c>
      <c r="Z105" s="4">
        <f t="shared" si="23"/>
        <v>80000</v>
      </c>
    </row>
    <row r="106" spans="1:26">
      <c r="A106" s="7">
        <f t="shared" si="16"/>
        <v>93</v>
      </c>
      <c r="B106" s="8">
        <f t="shared" si="17"/>
        <v>105303.75558662743</v>
      </c>
      <c r="C106" s="8">
        <f t="shared" si="18"/>
        <v>315.0337354633271</v>
      </c>
      <c r="D106" s="8">
        <f t="shared" si="19"/>
        <v>105618.78932209076</v>
      </c>
      <c r="E106" s="8">
        <f t="shared" si="12"/>
        <v>400000</v>
      </c>
      <c r="F106" s="8">
        <f t="shared" si="20"/>
        <v>80000</v>
      </c>
      <c r="G106" s="8">
        <f t="shared" si="13"/>
        <v>25618.789322090757</v>
      </c>
      <c r="H106" s="8">
        <f t="shared" si="14"/>
        <v>-25618.789322090757</v>
      </c>
      <c r="I106" s="9" t="str">
        <f t="shared" si="15"/>
        <v>Deposit / sell</v>
      </c>
      <c r="X106" s="3">
        <f t="shared" si="21"/>
        <v>93</v>
      </c>
      <c r="Y106" s="4">
        <f t="shared" si="22"/>
        <v>105618.78932209076</v>
      </c>
      <c r="Z106" s="4">
        <f t="shared" si="23"/>
        <v>80000</v>
      </c>
    </row>
    <row r="107" spans="1:26">
      <c r="A107" s="7">
        <f t="shared" si="16"/>
        <v>94</v>
      </c>
      <c r="B107" s="8">
        <f t="shared" si="17"/>
        <v>105618.78932209076</v>
      </c>
      <c r="C107" s="8">
        <f t="shared" si="18"/>
        <v>315.97621138858818</v>
      </c>
      <c r="D107" s="8">
        <f t="shared" si="19"/>
        <v>105934.76553347935</v>
      </c>
      <c r="E107" s="8">
        <f t="shared" si="12"/>
        <v>400000</v>
      </c>
      <c r="F107" s="8">
        <f t="shared" si="20"/>
        <v>80000</v>
      </c>
      <c r="G107" s="8">
        <f t="shared" si="13"/>
        <v>25934.765533479353</v>
      </c>
      <c r="H107" s="8">
        <f t="shared" si="14"/>
        <v>-25934.765533479353</v>
      </c>
      <c r="I107" s="9" t="str">
        <f t="shared" si="15"/>
        <v>Deposit / sell</v>
      </c>
      <c r="X107" s="3">
        <f t="shared" si="21"/>
        <v>94</v>
      </c>
      <c r="Y107" s="4">
        <f t="shared" si="22"/>
        <v>105934.76553347935</v>
      </c>
      <c r="Z107" s="4">
        <f t="shared" si="23"/>
        <v>80000</v>
      </c>
    </row>
    <row r="108" spans="1:26">
      <c r="A108" s="7">
        <f t="shared" si="16"/>
        <v>95</v>
      </c>
      <c r="B108" s="8">
        <f t="shared" si="17"/>
        <v>105934.76553347935</v>
      </c>
      <c r="C108" s="8">
        <f t="shared" si="18"/>
        <v>316.92150688765906</v>
      </c>
      <c r="D108" s="8">
        <f t="shared" si="19"/>
        <v>106251.68704036702</v>
      </c>
      <c r="E108" s="8">
        <f t="shared" si="12"/>
        <v>400000</v>
      </c>
      <c r="F108" s="8">
        <f t="shared" si="20"/>
        <v>80000</v>
      </c>
      <c r="G108" s="8">
        <f t="shared" si="13"/>
        <v>26251.687040367018</v>
      </c>
      <c r="H108" s="8">
        <f t="shared" si="14"/>
        <v>-26251.687040367018</v>
      </c>
      <c r="I108" s="9" t="str">
        <f t="shared" si="15"/>
        <v>Deposit / sell</v>
      </c>
      <c r="X108" s="3">
        <f t="shared" si="21"/>
        <v>95</v>
      </c>
      <c r="Y108" s="4">
        <f t="shared" si="22"/>
        <v>106251.68704036702</v>
      </c>
      <c r="Z108" s="4">
        <f t="shared" si="23"/>
        <v>80000</v>
      </c>
    </row>
    <row r="109" spans="1:26">
      <c r="A109" s="7">
        <f t="shared" si="16"/>
        <v>96</v>
      </c>
      <c r="B109" s="8">
        <f t="shared" si="17"/>
        <v>106251.68704036702</v>
      </c>
      <c r="C109" s="8">
        <f t="shared" si="18"/>
        <v>317.86963039576466</v>
      </c>
      <c r="D109" s="8">
        <f t="shared" si="19"/>
        <v>106569.55667076279</v>
      </c>
      <c r="E109" s="8">
        <f t="shared" si="12"/>
        <v>400000</v>
      </c>
      <c r="F109" s="8">
        <f t="shared" si="20"/>
        <v>80000</v>
      </c>
      <c r="G109" s="8">
        <f t="shared" si="13"/>
        <v>26569.556670762788</v>
      </c>
      <c r="H109" s="8">
        <f t="shared" si="14"/>
        <v>-26569.556670762788</v>
      </c>
      <c r="I109" s="9" t="str">
        <f t="shared" si="15"/>
        <v>Deposit / sell</v>
      </c>
      <c r="X109" s="3">
        <f t="shared" si="21"/>
        <v>96</v>
      </c>
      <c r="Y109" s="4">
        <f t="shared" si="22"/>
        <v>106569.55667076279</v>
      </c>
      <c r="Z109" s="4">
        <f t="shared" si="23"/>
        <v>80000</v>
      </c>
    </row>
    <row r="110" spans="1:26">
      <c r="A110" s="7">
        <f t="shared" si="16"/>
        <v>97</v>
      </c>
      <c r="B110" s="8">
        <f t="shared" si="17"/>
        <v>106569.55667076279</v>
      </c>
      <c r="C110" s="8">
        <f t="shared" si="18"/>
        <v>318.82059037336535</v>
      </c>
      <c r="D110" s="8">
        <f t="shared" si="19"/>
        <v>106888.37726113615</v>
      </c>
      <c r="E110" s="8">
        <f t="shared" si="12"/>
        <v>400000</v>
      </c>
      <c r="F110" s="8">
        <f t="shared" si="20"/>
        <v>80000</v>
      </c>
      <c r="G110" s="8">
        <f t="shared" si="13"/>
        <v>26888.377261136149</v>
      </c>
      <c r="H110" s="8">
        <f t="shared" si="14"/>
        <v>-26888.377261136149</v>
      </c>
      <c r="I110" s="9" t="str">
        <f t="shared" si="15"/>
        <v>Deposit / sell</v>
      </c>
      <c r="X110" s="3">
        <f t="shared" si="21"/>
        <v>97</v>
      </c>
      <c r="Y110" s="4">
        <f t="shared" si="22"/>
        <v>106888.37726113615</v>
      </c>
      <c r="Z110" s="4">
        <f t="shared" si="23"/>
        <v>80000</v>
      </c>
    </row>
    <row r="111" spans="1:26">
      <c r="A111" s="7">
        <f t="shared" si="16"/>
        <v>98</v>
      </c>
      <c r="B111" s="8">
        <f t="shared" si="17"/>
        <v>106888.37726113615</v>
      </c>
      <c r="C111" s="8">
        <f t="shared" si="18"/>
        <v>319.77439530623235</v>
      </c>
      <c r="D111" s="8">
        <f t="shared" si="19"/>
        <v>107208.15165644238</v>
      </c>
      <c r="E111" s="8">
        <f t="shared" si="12"/>
        <v>400000</v>
      </c>
      <c r="F111" s="8">
        <f t="shared" si="20"/>
        <v>80000</v>
      </c>
      <c r="G111" s="8">
        <f t="shared" si="13"/>
        <v>27208.15165644238</v>
      </c>
      <c r="H111" s="8">
        <f t="shared" si="14"/>
        <v>-27208.15165644238</v>
      </c>
      <c r="I111" s="9" t="str">
        <f t="shared" si="15"/>
        <v>Deposit / sell</v>
      </c>
      <c r="X111" s="3">
        <f t="shared" si="21"/>
        <v>98</v>
      </c>
      <c r="Y111" s="4">
        <f t="shared" si="22"/>
        <v>107208.15165644238</v>
      </c>
      <c r="Z111" s="4">
        <f t="shared" si="23"/>
        <v>80000</v>
      </c>
    </row>
    <row r="112" spans="1:26">
      <c r="A112" s="7">
        <f t="shared" si="16"/>
        <v>99</v>
      </c>
      <c r="B112" s="8">
        <f t="shared" si="17"/>
        <v>107208.15165644238</v>
      </c>
      <c r="C112" s="8">
        <f t="shared" si="18"/>
        <v>320.73105370552349</v>
      </c>
      <c r="D112" s="8">
        <f t="shared" si="19"/>
        <v>107528.8827101479</v>
      </c>
      <c r="E112" s="8">
        <f t="shared" si="12"/>
        <v>400000</v>
      </c>
      <c r="F112" s="8">
        <f t="shared" si="20"/>
        <v>80000</v>
      </c>
      <c r="G112" s="8">
        <f t="shared" si="13"/>
        <v>27528.882710147896</v>
      </c>
      <c r="H112" s="8">
        <f t="shared" si="14"/>
        <v>-27528.882710147896</v>
      </c>
      <c r="I112" s="9" t="str">
        <f t="shared" si="15"/>
        <v>Deposit / sell</v>
      </c>
      <c r="X112" s="3">
        <f t="shared" si="21"/>
        <v>99</v>
      </c>
      <c r="Y112" s="4">
        <f t="shared" si="22"/>
        <v>107528.8827101479</v>
      </c>
      <c r="Z112" s="4">
        <f t="shared" si="23"/>
        <v>80000</v>
      </c>
    </row>
    <row r="113" spans="1:26">
      <c r="A113" s="7" t="e">
        <f t="shared" si="16"/>
        <v>#N/A</v>
      </c>
      <c r="B113" s="8" t="e">
        <f t="shared" si="17"/>
        <v>#N/A</v>
      </c>
      <c r="C113" s="8" t="e">
        <f t="shared" si="18"/>
        <v>#N/A</v>
      </c>
      <c r="D113" s="8" t="e">
        <f t="shared" si="19"/>
        <v>#N/A</v>
      </c>
      <c r="E113" s="8" t="e">
        <f t="shared" si="12"/>
        <v>#N/A</v>
      </c>
      <c r="F113" s="8" t="e">
        <f t="shared" si="20"/>
        <v>#N/A</v>
      </c>
      <c r="G113" s="8" t="e">
        <f t="shared" si="13"/>
        <v>#N/A</v>
      </c>
      <c r="H113" s="8" t="e">
        <f t="shared" si="14"/>
        <v>#N/A</v>
      </c>
      <c r="I113" s="9" t="e">
        <f t="shared" si="15"/>
        <v>#N/A</v>
      </c>
      <c r="X113" s="3" t="e">
        <f t="shared" si="21"/>
        <v>#N/A</v>
      </c>
      <c r="Y113" s="4" t="e">
        <f t="shared" si="22"/>
        <v>#N/A</v>
      </c>
      <c r="Z113" s="4" t="e">
        <f t="shared" si="23"/>
        <v>#N/A</v>
      </c>
    </row>
    <row r="114" spans="1:26">
      <c r="A114" s="7" t="e">
        <f t="shared" si="16"/>
        <v>#N/A</v>
      </c>
      <c r="B114" s="8" t="e">
        <f t="shared" si="17"/>
        <v>#N/A</v>
      </c>
      <c r="C114" s="8" t="e">
        <f t="shared" si="18"/>
        <v>#N/A</v>
      </c>
      <c r="D114" s="8" t="e">
        <f t="shared" si="19"/>
        <v>#N/A</v>
      </c>
      <c r="E114" s="8" t="e">
        <f t="shared" si="12"/>
        <v>#N/A</v>
      </c>
      <c r="F114" s="8" t="e">
        <f t="shared" si="20"/>
        <v>#N/A</v>
      </c>
      <c r="G114" s="8" t="e">
        <f t="shared" si="13"/>
        <v>#N/A</v>
      </c>
      <c r="H114" s="8" t="e">
        <f t="shared" si="14"/>
        <v>#N/A</v>
      </c>
      <c r="I114" s="9" t="e">
        <f t="shared" si="15"/>
        <v>#N/A</v>
      </c>
      <c r="X114" s="3" t="e">
        <f t="shared" si="21"/>
        <v>#N/A</v>
      </c>
      <c r="Y114" s="4" t="e">
        <f t="shared" si="22"/>
        <v>#N/A</v>
      </c>
      <c r="Z114" s="4" t="e">
        <f t="shared" si="23"/>
        <v>#N/A</v>
      </c>
    </row>
    <row r="115" spans="1:26">
      <c r="A115" s="7" t="e">
        <f t="shared" si="16"/>
        <v>#N/A</v>
      </c>
      <c r="B115" s="8" t="e">
        <f t="shared" si="17"/>
        <v>#N/A</v>
      </c>
      <c r="C115" s="8" t="e">
        <f t="shared" si="18"/>
        <v>#N/A</v>
      </c>
      <c r="D115" s="8" t="e">
        <f t="shared" si="19"/>
        <v>#N/A</v>
      </c>
      <c r="E115" s="8" t="e">
        <f t="shared" si="12"/>
        <v>#N/A</v>
      </c>
      <c r="F115" s="8" t="e">
        <f t="shared" si="20"/>
        <v>#N/A</v>
      </c>
      <c r="G115" s="8" t="e">
        <f t="shared" si="13"/>
        <v>#N/A</v>
      </c>
      <c r="H115" s="8" t="e">
        <f t="shared" si="14"/>
        <v>#N/A</v>
      </c>
      <c r="I115" s="9" t="e">
        <f t="shared" si="15"/>
        <v>#N/A</v>
      </c>
      <c r="X115" s="3" t="e">
        <f t="shared" si="21"/>
        <v>#N/A</v>
      </c>
      <c r="Y115" s="4" t="e">
        <f t="shared" si="22"/>
        <v>#N/A</v>
      </c>
      <c r="Z115" s="4" t="e">
        <f t="shared" si="23"/>
        <v>#N/A</v>
      </c>
    </row>
    <row r="116" spans="1:26">
      <c r="A116" s="7" t="e">
        <f t="shared" si="16"/>
        <v>#N/A</v>
      </c>
      <c r="B116" s="8" t="e">
        <f t="shared" si="17"/>
        <v>#N/A</v>
      </c>
      <c r="C116" s="8" t="e">
        <f t="shared" si="18"/>
        <v>#N/A</v>
      </c>
      <c r="D116" s="8" t="e">
        <f t="shared" si="19"/>
        <v>#N/A</v>
      </c>
      <c r="E116" s="8" t="e">
        <f t="shared" si="12"/>
        <v>#N/A</v>
      </c>
      <c r="F116" s="8" t="e">
        <f t="shared" si="20"/>
        <v>#N/A</v>
      </c>
      <c r="G116" s="8" t="e">
        <f t="shared" si="13"/>
        <v>#N/A</v>
      </c>
      <c r="H116" s="8" t="e">
        <f t="shared" si="14"/>
        <v>#N/A</v>
      </c>
      <c r="I116" s="9" t="e">
        <f t="shared" si="15"/>
        <v>#N/A</v>
      </c>
      <c r="X116" s="3" t="e">
        <f t="shared" si="21"/>
        <v>#N/A</v>
      </c>
      <c r="Y116" s="4" t="e">
        <f t="shared" si="22"/>
        <v>#N/A</v>
      </c>
      <c r="Z116" s="4" t="e">
        <f t="shared" si="23"/>
        <v>#N/A</v>
      </c>
    </row>
    <row r="117" spans="1:26">
      <c r="A117" s="7" t="e">
        <f t="shared" si="16"/>
        <v>#N/A</v>
      </c>
      <c r="B117" s="8" t="e">
        <f t="shared" si="17"/>
        <v>#N/A</v>
      </c>
      <c r="C117" s="8" t="e">
        <f t="shared" si="18"/>
        <v>#N/A</v>
      </c>
      <c r="D117" s="8" t="e">
        <f t="shared" si="19"/>
        <v>#N/A</v>
      </c>
      <c r="E117" s="8" t="e">
        <f t="shared" si="12"/>
        <v>#N/A</v>
      </c>
      <c r="F117" s="8" t="e">
        <f t="shared" si="20"/>
        <v>#N/A</v>
      </c>
      <c r="G117" s="8" t="e">
        <f t="shared" si="13"/>
        <v>#N/A</v>
      </c>
      <c r="H117" s="8" t="e">
        <f t="shared" si="14"/>
        <v>#N/A</v>
      </c>
      <c r="I117" s="9" t="e">
        <f t="shared" si="15"/>
        <v>#N/A</v>
      </c>
      <c r="X117" s="3" t="e">
        <f t="shared" si="21"/>
        <v>#N/A</v>
      </c>
      <c r="Y117" s="4" t="e">
        <f t="shared" si="22"/>
        <v>#N/A</v>
      </c>
      <c r="Z117" s="4" t="e">
        <f t="shared" si="23"/>
        <v>#N/A</v>
      </c>
    </row>
    <row r="118" spans="1:26">
      <c r="A118" s="7" t="e">
        <f t="shared" si="16"/>
        <v>#N/A</v>
      </c>
      <c r="B118" s="8" t="e">
        <f t="shared" si="17"/>
        <v>#N/A</v>
      </c>
      <c r="C118" s="8" t="e">
        <f t="shared" si="18"/>
        <v>#N/A</v>
      </c>
      <c r="D118" s="8" t="e">
        <f t="shared" si="19"/>
        <v>#N/A</v>
      </c>
      <c r="E118" s="8" t="e">
        <f t="shared" si="12"/>
        <v>#N/A</v>
      </c>
      <c r="F118" s="8" t="e">
        <f t="shared" si="20"/>
        <v>#N/A</v>
      </c>
      <c r="G118" s="8" t="e">
        <f t="shared" si="13"/>
        <v>#N/A</v>
      </c>
      <c r="H118" s="8" t="e">
        <f t="shared" si="14"/>
        <v>#N/A</v>
      </c>
      <c r="I118" s="9" t="e">
        <f t="shared" si="15"/>
        <v>#N/A</v>
      </c>
      <c r="X118" s="3" t="e">
        <f t="shared" si="21"/>
        <v>#N/A</v>
      </c>
      <c r="Y118" s="4" t="e">
        <f t="shared" si="22"/>
        <v>#N/A</v>
      </c>
      <c r="Z118" s="4" t="e">
        <f t="shared" si="23"/>
        <v>#N/A</v>
      </c>
    </row>
    <row r="119" spans="1:26">
      <c r="A119" s="7" t="e">
        <f t="shared" si="16"/>
        <v>#N/A</v>
      </c>
      <c r="B119" s="8" t="e">
        <f t="shared" si="17"/>
        <v>#N/A</v>
      </c>
      <c r="C119" s="8" t="e">
        <f t="shared" si="18"/>
        <v>#N/A</v>
      </c>
      <c r="D119" s="8" t="e">
        <f t="shared" si="19"/>
        <v>#N/A</v>
      </c>
      <c r="E119" s="8" t="e">
        <f t="shared" si="12"/>
        <v>#N/A</v>
      </c>
      <c r="F119" s="8" t="e">
        <f t="shared" si="20"/>
        <v>#N/A</v>
      </c>
      <c r="G119" s="8" t="e">
        <f t="shared" si="13"/>
        <v>#N/A</v>
      </c>
      <c r="H119" s="8" t="e">
        <f t="shared" si="14"/>
        <v>#N/A</v>
      </c>
      <c r="I119" s="9" t="e">
        <f t="shared" si="15"/>
        <v>#N/A</v>
      </c>
      <c r="X119" s="3" t="e">
        <f t="shared" si="21"/>
        <v>#N/A</v>
      </c>
      <c r="Y119" s="4" t="e">
        <f t="shared" si="22"/>
        <v>#N/A</v>
      </c>
      <c r="Z119" s="4" t="e">
        <f t="shared" si="23"/>
        <v>#N/A</v>
      </c>
    </row>
    <row r="120" spans="1:26">
      <c r="A120" s="7" t="e">
        <f t="shared" si="16"/>
        <v>#N/A</v>
      </c>
      <c r="B120" s="8" t="e">
        <f t="shared" si="17"/>
        <v>#N/A</v>
      </c>
      <c r="C120" s="8" t="e">
        <f t="shared" si="18"/>
        <v>#N/A</v>
      </c>
      <c r="D120" s="8" t="e">
        <f t="shared" si="19"/>
        <v>#N/A</v>
      </c>
      <c r="E120" s="8" t="e">
        <f t="shared" si="12"/>
        <v>#N/A</v>
      </c>
      <c r="F120" s="8" t="e">
        <f t="shared" si="20"/>
        <v>#N/A</v>
      </c>
      <c r="G120" s="8" t="e">
        <f t="shared" si="13"/>
        <v>#N/A</v>
      </c>
      <c r="H120" s="8" t="e">
        <f t="shared" si="14"/>
        <v>#N/A</v>
      </c>
      <c r="I120" s="9" t="e">
        <f t="shared" si="15"/>
        <v>#N/A</v>
      </c>
      <c r="X120" s="3" t="e">
        <f t="shared" si="21"/>
        <v>#N/A</v>
      </c>
      <c r="Y120" s="4" t="e">
        <f t="shared" si="22"/>
        <v>#N/A</v>
      </c>
      <c r="Z120" s="4" t="e">
        <f t="shared" si="23"/>
        <v>#N/A</v>
      </c>
    </row>
    <row r="121" spans="1:26">
      <c r="A121" s="7" t="e">
        <f t="shared" si="16"/>
        <v>#N/A</v>
      </c>
      <c r="B121" s="8" t="e">
        <f t="shared" si="17"/>
        <v>#N/A</v>
      </c>
      <c r="C121" s="8" t="e">
        <f t="shared" si="18"/>
        <v>#N/A</v>
      </c>
      <c r="D121" s="8" t="e">
        <f t="shared" si="19"/>
        <v>#N/A</v>
      </c>
      <c r="E121" s="8" t="e">
        <f t="shared" si="12"/>
        <v>#N/A</v>
      </c>
      <c r="F121" s="8" t="e">
        <f t="shared" si="20"/>
        <v>#N/A</v>
      </c>
      <c r="G121" s="8" t="e">
        <f t="shared" si="13"/>
        <v>#N/A</v>
      </c>
      <c r="H121" s="8" t="e">
        <f t="shared" si="14"/>
        <v>#N/A</v>
      </c>
      <c r="I121" s="9" t="e">
        <f t="shared" si="15"/>
        <v>#N/A</v>
      </c>
      <c r="X121" s="3" t="e">
        <f t="shared" si="21"/>
        <v>#N/A</v>
      </c>
      <c r="Y121" s="4" t="e">
        <f t="shared" si="22"/>
        <v>#N/A</v>
      </c>
      <c r="Z121" s="4" t="e">
        <f t="shared" si="23"/>
        <v>#N/A</v>
      </c>
    </row>
    <row r="122" spans="1:26">
      <c r="A122" s="7" t="e">
        <f t="shared" si="16"/>
        <v>#N/A</v>
      </c>
      <c r="B122" s="8" t="e">
        <f t="shared" si="17"/>
        <v>#N/A</v>
      </c>
      <c r="C122" s="8" t="e">
        <f t="shared" si="18"/>
        <v>#N/A</v>
      </c>
      <c r="D122" s="8" t="e">
        <f t="shared" si="19"/>
        <v>#N/A</v>
      </c>
      <c r="E122" s="8" t="e">
        <f t="shared" si="12"/>
        <v>#N/A</v>
      </c>
      <c r="F122" s="8" t="e">
        <f t="shared" si="20"/>
        <v>#N/A</v>
      </c>
      <c r="G122" s="8" t="e">
        <f t="shared" si="13"/>
        <v>#N/A</v>
      </c>
      <c r="H122" s="8" t="e">
        <f t="shared" si="14"/>
        <v>#N/A</v>
      </c>
      <c r="I122" s="9" t="e">
        <f t="shared" si="15"/>
        <v>#N/A</v>
      </c>
      <c r="X122" s="3" t="e">
        <f t="shared" si="21"/>
        <v>#N/A</v>
      </c>
      <c r="Y122" s="4" t="e">
        <f t="shared" si="22"/>
        <v>#N/A</v>
      </c>
      <c r="Z122" s="4" t="e">
        <f t="shared" si="23"/>
        <v>#N/A</v>
      </c>
    </row>
    <row r="123" spans="1:26">
      <c r="A123" s="7" t="e">
        <f t="shared" si="16"/>
        <v>#N/A</v>
      </c>
      <c r="B123" s="8" t="e">
        <f t="shared" si="17"/>
        <v>#N/A</v>
      </c>
      <c r="C123" s="8" t="e">
        <f t="shared" si="18"/>
        <v>#N/A</v>
      </c>
      <c r="D123" s="8" t="e">
        <f t="shared" si="19"/>
        <v>#N/A</v>
      </c>
      <c r="E123" s="8" t="e">
        <f t="shared" si="12"/>
        <v>#N/A</v>
      </c>
      <c r="F123" s="8" t="e">
        <f t="shared" si="20"/>
        <v>#N/A</v>
      </c>
      <c r="G123" s="8" t="e">
        <f t="shared" si="13"/>
        <v>#N/A</v>
      </c>
      <c r="H123" s="8" t="e">
        <f t="shared" si="14"/>
        <v>#N/A</v>
      </c>
      <c r="I123" s="9" t="e">
        <f t="shared" si="15"/>
        <v>#N/A</v>
      </c>
      <c r="X123" s="3" t="e">
        <f t="shared" si="21"/>
        <v>#N/A</v>
      </c>
      <c r="Y123" s="4" t="e">
        <f t="shared" si="22"/>
        <v>#N/A</v>
      </c>
      <c r="Z123" s="4" t="e">
        <f t="shared" si="23"/>
        <v>#N/A</v>
      </c>
    </row>
    <row r="124" spans="1:26">
      <c r="A124" s="7" t="e">
        <f t="shared" si="16"/>
        <v>#N/A</v>
      </c>
      <c r="B124" s="8" t="e">
        <f t="shared" si="17"/>
        <v>#N/A</v>
      </c>
      <c r="C124" s="8" t="e">
        <f t="shared" si="18"/>
        <v>#N/A</v>
      </c>
      <c r="D124" s="8" t="e">
        <f t="shared" si="19"/>
        <v>#N/A</v>
      </c>
      <c r="E124" s="8" t="e">
        <f t="shared" si="12"/>
        <v>#N/A</v>
      </c>
      <c r="F124" s="8" t="e">
        <f t="shared" si="20"/>
        <v>#N/A</v>
      </c>
      <c r="G124" s="8" t="e">
        <f t="shared" si="13"/>
        <v>#N/A</v>
      </c>
      <c r="H124" s="8" t="e">
        <f t="shared" si="14"/>
        <v>#N/A</v>
      </c>
      <c r="I124" s="9" t="e">
        <f t="shared" si="15"/>
        <v>#N/A</v>
      </c>
      <c r="X124" s="3" t="e">
        <f t="shared" si="21"/>
        <v>#N/A</v>
      </c>
      <c r="Y124" s="4" t="e">
        <f t="shared" si="22"/>
        <v>#N/A</v>
      </c>
      <c r="Z124" s="4" t="e">
        <f t="shared" si="23"/>
        <v>#N/A</v>
      </c>
    </row>
    <row r="125" spans="1:26">
      <c r="A125" s="7" t="e">
        <f t="shared" si="16"/>
        <v>#N/A</v>
      </c>
      <c r="B125" s="8" t="e">
        <f t="shared" si="17"/>
        <v>#N/A</v>
      </c>
      <c r="C125" s="8" t="e">
        <f t="shared" si="18"/>
        <v>#N/A</v>
      </c>
      <c r="D125" s="8" t="e">
        <f t="shared" si="19"/>
        <v>#N/A</v>
      </c>
      <c r="E125" s="8" t="e">
        <f t="shared" si="12"/>
        <v>#N/A</v>
      </c>
      <c r="F125" s="8" t="e">
        <f t="shared" si="20"/>
        <v>#N/A</v>
      </c>
      <c r="G125" s="8" t="e">
        <f t="shared" si="13"/>
        <v>#N/A</v>
      </c>
      <c r="H125" s="8" t="e">
        <f t="shared" si="14"/>
        <v>#N/A</v>
      </c>
      <c r="I125" s="9" t="e">
        <f t="shared" si="15"/>
        <v>#N/A</v>
      </c>
      <c r="X125" s="3" t="e">
        <f t="shared" si="21"/>
        <v>#N/A</v>
      </c>
      <c r="Y125" s="4" t="e">
        <f t="shared" si="22"/>
        <v>#N/A</v>
      </c>
      <c r="Z125" s="4" t="e">
        <f t="shared" si="23"/>
        <v>#N/A</v>
      </c>
    </row>
    <row r="126" spans="1:26">
      <c r="A126" s="7" t="e">
        <f t="shared" si="16"/>
        <v>#N/A</v>
      </c>
      <c r="B126" s="8" t="e">
        <f t="shared" si="17"/>
        <v>#N/A</v>
      </c>
      <c r="C126" s="8" t="e">
        <f t="shared" si="18"/>
        <v>#N/A</v>
      </c>
      <c r="D126" s="8" t="e">
        <f t="shared" si="19"/>
        <v>#N/A</v>
      </c>
      <c r="E126" s="8" t="e">
        <f t="shared" si="12"/>
        <v>#N/A</v>
      </c>
      <c r="F126" s="8" t="e">
        <f t="shared" si="20"/>
        <v>#N/A</v>
      </c>
      <c r="G126" s="8" t="e">
        <f t="shared" si="13"/>
        <v>#N/A</v>
      </c>
      <c r="H126" s="8" t="e">
        <f t="shared" si="14"/>
        <v>#N/A</v>
      </c>
      <c r="I126" s="9" t="e">
        <f t="shared" si="15"/>
        <v>#N/A</v>
      </c>
      <c r="X126" s="3" t="e">
        <f t="shared" si="21"/>
        <v>#N/A</v>
      </c>
      <c r="Y126" s="4" t="e">
        <f t="shared" si="22"/>
        <v>#N/A</v>
      </c>
      <c r="Z126" s="4" t="e">
        <f t="shared" si="23"/>
        <v>#N/A</v>
      </c>
    </row>
    <row r="127" spans="1:26">
      <c r="A127" s="7" t="e">
        <f t="shared" si="16"/>
        <v>#N/A</v>
      </c>
      <c r="B127" s="8" t="e">
        <f t="shared" si="17"/>
        <v>#N/A</v>
      </c>
      <c r="C127" s="8" t="e">
        <f t="shared" si="18"/>
        <v>#N/A</v>
      </c>
      <c r="D127" s="8" t="e">
        <f t="shared" si="19"/>
        <v>#N/A</v>
      </c>
      <c r="E127" s="8" t="e">
        <f t="shared" si="12"/>
        <v>#N/A</v>
      </c>
      <c r="F127" s="8" t="e">
        <f t="shared" si="20"/>
        <v>#N/A</v>
      </c>
      <c r="G127" s="8" t="e">
        <f t="shared" si="13"/>
        <v>#N/A</v>
      </c>
      <c r="H127" s="8" t="e">
        <f t="shared" si="14"/>
        <v>#N/A</v>
      </c>
      <c r="I127" s="9" t="e">
        <f t="shared" si="15"/>
        <v>#N/A</v>
      </c>
      <c r="X127" s="3" t="e">
        <f t="shared" si="21"/>
        <v>#N/A</v>
      </c>
      <c r="Y127" s="4" t="e">
        <f t="shared" si="22"/>
        <v>#N/A</v>
      </c>
      <c r="Z127" s="4" t="e">
        <f t="shared" si="23"/>
        <v>#N/A</v>
      </c>
    </row>
    <row r="128" spans="1:26">
      <c r="A128" s="7" t="e">
        <f t="shared" si="16"/>
        <v>#N/A</v>
      </c>
      <c r="B128" s="8" t="e">
        <f t="shared" si="17"/>
        <v>#N/A</v>
      </c>
      <c r="C128" s="8" t="e">
        <f t="shared" si="18"/>
        <v>#N/A</v>
      </c>
      <c r="D128" s="8" t="e">
        <f t="shared" si="19"/>
        <v>#N/A</v>
      </c>
      <c r="E128" s="8" t="e">
        <f t="shared" si="12"/>
        <v>#N/A</v>
      </c>
      <c r="F128" s="8" t="e">
        <f t="shared" si="20"/>
        <v>#N/A</v>
      </c>
      <c r="G128" s="8" t="e">
        <f t="shared" si="13"/>
        <v>#N/A</v>
      </c>
      <c r="H128" s="8" t="e">
        <f t="shared" si="14"/>
        <v>#N/A</v>
      </c>
      <c r="I128" s="9" t="e">
        <f t="shared" si="15"/>
        <v>#N/A</v>
      </c>
      <c r="X128" s="3" t="e">
        <f t="shared" si="21"/>
        <v>#N/A</v>
      </c>
      <c r="Y128" s="4" t="e">
        <f t="shared" si="22"/>
        <v>#N/A</v>
      </c>
      <c r="Z128" s="4" t="e">
        <f t="shared" si="23"/>
        <v>#N/A</v>
      </c>
    </row>
    <row r="129" spans="1:26">
      <c r="A129" s="7" t="e">
        <f t="shared" si="16"/>
        <v>#N/A</v>
      </c>
      <c r="B129" s="8" t="e">
        <f t="shared" si="17"/>
        <v>#N/A</v>
      </c>
      <c r="C129" s="8" t="e">
        <f t="shared" si="18"/>
        <v>#N/A</v>
      </c>
      <c r="D129" s="8" t="e">
        <f t="shared" si="19"/>
        <v>#N/A</v>
      </c>
      <c r="E129" s="8" t="e">
        <f t="shared" si="12"/>
        <v>#N/A</v>
      </c>
      <c r="F129" s="8" t="e">
        <f t="shared" si="20"/>
        <v>#N/A</v>
      </c>
      <c r="G129" s="8" t="e">
        <f t="shared" si="13"/>
        <v>#N/A</v>
      </c>
      <c r="H129" s="8" t="e">
        <f t="shared" si="14"/>
        <v>#N/A</v>
      </c>
      <c r="I129" s="9" t="e">
        <f t="shared" si="15"/>
        <v>#N/A</v>
      </c>
      <c r="X129" s="3" t="e">
        <f t="shared" si="21"/>
        <v>#N/A</v>
      </c>
      <c r="Y129" s="4" t="e">
        <f t="shared" si="22"/>
        <v>#N/A</v>
      </c>
      <c r="Z129" s="4" t="e">
        <f t="shared" si="23"/>
        <v>#N/A</v>
      </c>
    </row>
    <row r="130" spans="1:26">
      <c r="A130" s="7" t="e">
        <f t="shared" si="16"/>
        <v>#N/A</v>
      </c>
      <c r="B130" s="8" t="e">
        <f t="shared" si="17"/>
        <v>#N/A</v>
      </c>
      <c r="C130" s="8" t="e">
        <f t="shared" si="18"/>
        <v>#N/A</v>
      </c>
      <c r="D130" s="8" t="e">
        <f t="shared" si="19"/>
        <v>#N/A</v>
      </c>
      <c r="E130" s="8" t="e">
        <f t="shared" si="12"/>
        <v>#N/A</v>
      </c>
      <c r="F130" s="8" t="e">
        <f t="shared" si="20"/>
        <v>#N/A</v>
      </c>
      <c r="G130" s="8" t="e">
        <f t="shared" si="13"/>
        <v>#N/A</v>
      </c>
      <c r="H130" s="8" t="e">
        <f t="shared" si="14"/>
        <v>#N/A</v>
      </c>
      <c r="I130" s="9" t="e">
        <f t="shared" si="15"/>
        <v>#N/A</v>
      </c>
      <c r="X130" s="3" t="e">
        <f t="shared" si="21"/>
        <v>#N/A</v>
      </c>
      <c r="Y130" s="4" t="e">
        <f t="shared" si="22"/>
        <v>#N/A</v>
      </c>
      <c r="Z130" s="4" t="e">
        <f t="shared" si="23"/>
        <v>#N/A</v>
      </c>
    </row>
    <row r="131" spans="1:26">
      <c r="A131" s="7" t="e">
        <f t="shared" si="16"/>
        <v>#N/A</v>
      </c>
      <c r="B131" s="8" t="e">
        <f t="shared" si="17"/>
        <v>#N/A</v>
      </c>
      <c r="C131" s="8" t="e">
        <f t="shared" si="18"/>
        <v>#N/A</v>
      </c>
      <c r="D131" s="8" t="e">
        <f t="shared" si="19"/>
        <v>#N/A</v>
      </c>
      <c r="E131" s="8" t="e">
        <f t="shared" si="12"/>
        <v>#N/A</v>
      </c>
      <c r="F131" s="8" t="e">
        <f t="shared" si="20"/>
        <v>#N/A</v>
      </c>
      <c r="G131" s="8" t="e">
        <f t="shared" si="13"/>
        <v>#N/A</v>
      </c>
      <c r="H131" s="8" t="e">
        <f t="shared" si="14"/>
        <v>#N/A</v>
      </c>
      <c r="I131" s="9" t="e">
        <f t="shared" si="15"/>
        <v>#N/A</v>
      </c>
      <c r="X131" s="3" t="e">
        <f t="shared" si="21"/>
        <v>#N/A</v>
      </c>
      <c r="Y131" s="4" t="e">
        <f t="shared" si="22"/>
        <v>#N/A</v>
      </c>
      <c r="Z131" s="4" t="e">
        <f t="shared" si="23"/>
        <v>#N/A</v>
      </c>
    </row>
    <row r="132" spans="1:26">
      <c r="A132" s="7" t="e">
        <f t="shared" si="16"/>
        <v>#N/A</v>
      </c>
      <c r="B132" s="8" t="e">
        <f t="shared" si="17"/>
        <v>#N/A</v>
      </c>
      <c r="C132" s="8" t="e">
        <f t="shared" si="18"/>
        <v>#N/A</v>
      </c>
      <c r="D132" s="8" t="e">
        <f t="shared" si="19"/>
        <v>#N/A</v>
      </c>
      <c r="E132" s="8" t="e">
        <f t="shared" si="12"/>
        <v>#N/A</v>
      </c>
      <c r="F132" s="8" t="e">
        <f t="shared" si="20"/>
        <v>#N/A</v>
      </c>
      <c r="G132" s="8" t="e">
        <f t="shared" si="13"/>
        <v>#N/A</v>
      </c>
      <c r="H132" s="8" t="e">
        <f t="shared" si="14"/>
        <v>#N/A</v>
      </c>
      <c r="I132" s="9" t="e">
        <f t="shared" si="15"/>
        <v>#N/A</v>
      </c>
      <c r="X132" s="3" t="e">
        <f t="shared" si="21"/>
        <v>#N/A</v>
      </c>
      <c r="Y132" s="4" t="e">
        <f t="shared" si="22"/>
        <v>#N/A</v>
      </c>
      <c r="Z132" s="4" t="e">
        <f t="shared" si="23"/>
        <v>#N/A</v>
      </c>
    </row>
    <row r="133" spans="1:26">
      <c r="A133" s="7" t="e">
        <f t="shared" si="16"/>
        <v>#N/A</v>
      </c>
      <c r="B133" s="8" t="e">
        <f t="shared" si="17"/>
        <v>#N/A</v>
      </c>
      <c r="C133" s="8" t="e">
        <f t="shared" si="18"/>
        <v>#N/A</v>
      </c>
      <c r="D133" s="8" t="e">
        <f t="shared" si="19"/>
        <v>#N/A</v>
      </c>
      <c r="E133" s="8" t="e">
        <f t="shared" si="12"/>
        <v>#N/A</v>
      </c>
      <c r="F133" s="8" t="e">
        <f t="shared" si="20"/>
        <v>#N/A</v>
      </c>
      <c r="G133" s="8" t="e">
        <f t="shared" si="13"/>
        <v>#N/A</v>
      </c>
      <c r="H133" s="8" t="e">
        <f t="shared" si="14"/>
        <v>#N/A</v>
      </c>
      <c r="I133" s="9" t="e">
        <f t="shared" si="15"/>
        <v>#N/A</v>
      </c>
      <c r="X133" s="3" t="e">
        <f t="shared" si="21"/>
        <v>#N/A</v>
      </c>
      <c r="Y133" s="4" t="e">
        <f t="shared" si="22"/>
        <v>#N/A</v>
      </c>
      <c r="Z133" s="4" t="e">
        <f t="shared" si="23"/>
        <v>#N/A</v>
      </c>
    </row>
    <row r="134" spans="1:26">
      <c r="A134" s="7" t="e">
        <f t="shared" si="16"/>
        <v>#N/A</v>
      </c>
      <c r="B134" s="8" t="e">
        <f t="shared" si="17"/>
        <v>#N/A</v>
      </c>
      <c r="C134" s="8" t="e">
        <f t="shared" si="18"/>
        <v>#N/A</v>
      </c>
      <c r="D134" s="8" t="e">
        <f t="shared" si="19"/>
        <v>#N/A</v>
      </c>
      <c r="E134" s="8" t="e">
        <f t="shared" si="12"/>
        <v>#N/A</v>
      </c>
      <c r="F134" s="8" t="e">
        <f t="shared" si="20"/>
        <v>#N/A</v>
      </c>
      <c r="G134" s="8" t="e">
        <f t="shared" si="13"/>
        <v>#N/A</v>
      </c>
      <c r="H134" s="8" t="e">
        <f t="shared" si="14"/>
        <v>#N/A</v>
      </c>
      <c r="I134" s="9" t="e">
        <f t="shared" si="15"/>
        <v>#N/A</v>
      </c>
      <c r="X134" s="3" t="e">
        <f t="shared" si="21"/>
        <v>#N/A</v>
      </c>
      <c r="Y134" s="4" t="e">
        <f t="shared" si="22"/>
        <v>#N/A</v>
      </c>
      <c r="Z134" s="4" t="e">
        <f t="shared" si="23"/>
        <v>#N/A</v>
      </c>
    </row>
    <row r="135" spans="1:26">
      <c r="A135" s="7" t="e">
        <f t="shared" si="16"/>
        <v>#N/A</v>
      </c>
      <c r="B135" s="8" t="e">
        <f t="shared" si="17"/>
        <v>#N/A</v>
      </c>
      <c r="C135" s="8" t="e">
        <f t="shared" si="18"/>
        <v>#N/A</v>
      </c>
      <c r="D135" s="8" t="e">
        <f t="shared" si="19"/>
        <v>#N/A</v>
      </c>
      <c r="E135" s="8" t="e">
        <f t="shared" si="12"/>
        <v>#N/A</v>
      </c>
      <c r="F135" s="8" t="e">
        <f t="shared" si="20"/>
        <v>#N/A</v>
      </c>
      <c r="G135" s="8" t="e">
        <f t="shared" si="13"/>
        <v>#N/A</v>
      </c>
      <c r="H135" s="8" t="e">
        <f t="shared" si="14"/>
        <v>#N/A</v>
      </c>
      <c r="I135" s="9" t="e">
        <f t="shared" si="15"/>
        <v>#N/A</v>
      </c>
      <c r="X135" s="3" t="e">
        <f t="shared" si="21"/>
        <v>#N/A</v>
      </c>
      <c r="Y135" s="4" t="e">
        <f t="shared" si="22"/>
        <v>#N/A</v>
      </c>
      <c r="Z135" s="4" t="e">
        <f t="shared" si="23"/>
        <v>#N/A</v>
      </c>
    </row>
    <row r="136" spans="1:26">
      <c r="A136" s="7" t="e">
        <f t="shared" si="16"/>
        <v>#N/A</v>
      </c>
      <c r="B136" s="8" t="e">
        <f t="shared" si="17"/>
        <v>#N/A</v>
      </c>
      <c r="C136" s="8" t="e">
        <f t="shared" si="18"/>
        <v>#N/A</v>
      </c>
      <c r="D136" s="8" t="e">
        <f t="shared" si="19"/>
        <v>#N/A</v>
      </c>
      <c r="E136" s="8" t="e">
        <f t="shared" si="12"/>
        <v>#N/A</v>
      </c>
      <c r="F136" s="8" t="e">
        <f t="shared" si="20"/>
        <v>#N/A</v>
      </c>
      <c r="G136" s="8" t="e">
        <f t="shared" si="13"/>
        <v>#N/A</v>
      </c>
      <c r="H136" s="8" t="e">
        <f t="shared" si="14"/>
        <v>#N/A</v>
      </c>
      <c r="I136" s="9" t="e">
        <f t="shared" si="15"/>
        <v>#N/A</v>
      </c>
      <c r="X136" s="3" t="e">
        <f t="shared" si="21"/>
        <v>#N/A</v>
      </c>
      <c r="Y136" s="4" t="e">
        <f t="shared" si="22"/>
        <v>#N/A</v>
      </c>
      <c r="Z136" s="4" t="e">
        <f t="shared" si="23"/>
        <v>#N/A</v>
      </c>
    </row>
    <row r="137" spans="1:26">
      <c r="A137" s="7" t="e">
        <f t="shared" si="16"/>
        <v>#N/A</v>
      </c>
      <c r="B137" s="8" t="e">
        <f t="shared" si="17"/>
        <v>#N/A</v>
      </c>
      <c r="C137" s="8" t="e">
        <f t="shared" si="18"/>
        <v>#N/A</v>
      </c>
      <c r="D137" s="8" t="e">
        <f t="shared" si="19"/>
        <v>#N/A</v>
      </c>
      <c r="E137" s="8" t="e">
        <f t="shared" si="12"/>
        <v>#N/A</v>
      </c>
      <c r="F137" s="8" t="e">
        <f t="shared" si="20"/>
        <v>#N/A</v>
      </c>
      <c r="G137" s="8" t="e">
        <f t="shared" si="13"/>
        <v>#N/A</v>
      </c>
      <c r="H137" s="8" t="e">
        <f t="shared" si="14"/>
        <v>#N/A</v>
      </c>
      <c r="I137" s="9" t="e">
        <f t="shared" si="15"/>
        <v>#N/A</v>
      </c>
      <c r="X137" s="3" t="e">
        <f t="shared" si="21"/>
        <v>#N/A</v>
      </c>
      <c r="Y137" s="4" t="e">
        <f t="shared" si="22"/>
        <v>#N/A</v>
      </c>
      <c r="Z137" s="4" t="e">
        <f t="shared" si="23"/>
        <v>#N/A</v>
      </c>
    </row>
    <row r="138" spans="1:26">
      <c r="A138" s="7" t="e">
        <f t="shared" si="16"/>
        <v>#N/A</v>
      </c>
      <c r="B138" s="8" t="e">
        <f t="shared" si="17"/>
        <v>#N/A</v>
      </c>
      <c r="C138" s="8" t="e">
        <f t="shared" si="18"/>
        <v>#N/A</v>
      </c>
      <c r="D138" s="8" t="e">
        <f t="shared" si="19"/>
        <v>#N/A</v>
      </c>
      <c r="E138" s="8" t="e">
        <f t="shared" si="12"/>
        <v>#N/A</v>
      </c>
      <c r="F138" s="8" t="e">
        <f t="shared" si="20"/>
        <v>#N/A</v>
      </c>
      <c r="G138" s="8" t="e">
        <f t="shared" si="13"/>
        <v>#N/A</v>
      </c>
      <c r="H138" s="8" t="e">
        <f t="shared" si="14"/>
        <v>#N/A</v>
      </c>
      <c r="I138" s="9" t="e">
        <f t="shared" si="15"/>
        <v>#N/A</v>
      </c>
      <c r="X138" s="3" t="e">
        <f t="shared" si="21"/>
        <v>#N/A</v>
      </c>
      <c r="Y138" s="4" t="e">
        <f t="shared" si="22"/>
        <v>#N/A</v>
      </c>
      <c r="Z138" s="4" t="e">
        <f t="shared" si="23"/>
        <v>#N/A</v>
      </c>
    </row>
    <row r="139" spans="1:26">
      <c r="A139" s="7" t="e">
        <f t="shared" si="16"/>
        <v>#N/A</v>
      </c>
      <c r="B139" s="8" t="e">
        <f t="shared" si="17"/>
        <v>#N/A</v>
      </c>
      <c r="C139" s="8" t="e">
        <f t="shared" si="18"/>
        <v>#N/A</v>
      </c>
      <c r="D139" s="8" t="e">
        <f t="shared" si="19"/>
        <v>#N/A</v>
      </c>
      <c r="E139" s="8" t="e">
        <f t="shared" si="12"/>
        <v>#N/A</v>
      </c>
      <c r="F139" s="8" t="e">
        <f t="shared" si="20"/>
        <v>#N/A</v>
      </c>
      <c r="G139" s="8" t="e">
        <f t="shared" si="13"/>
        <v>#N/A</v>
      </c>
      <c r="H139" s="8" t="e">
        <f t="shared" si="14"/>
        <v>#N/A</v>
      </c>
      <c r="I139" s="9" t="e">
        <f t="shared" si="15"/>
        <v>#N/A</v>
      </c>
      <c r="X139" s="3" t="e">
        <f t="shared" si="21"/>
        <v>#N/A</v>
      </c>
      <c r="Y139" s="4" t="e">
        <f t="shared" si="22"/>
        <v>#N/A</v>
      </c>
      <c r="Z139" s="4" t="e">
        <f t="shared" si="23"/>
        <v>#N/A</v>
      </c>
    </row>
    <row r="140" spans="1:26">
      <c r="A140" s="7" t="e">
        <f t="shared" si="16"/>
        <v>#N/A</v>
      </c>
      <c r="B140" s="8" t="e">
        <f t="shared" si="17"/>
        <v>#N/A</v>
      </c>
      <c r="C140" s="8" t="e">
        <f t="shared" si="18"/>
        <v>#N/A</v>
      </c>
      <c r="D140" s="8" t="e">
        <f t="shared" si="19"/>
        <v>#N/A</v>
      </c>
      <c r="E140" s="8" t="e">
        <f t="shared" si="12"/>
        <v>#N/A</v>
      </c>
      <c r="F140" s="8" t="e">
        <f t="shared" si="20"/>
        <v>#N/A</v>
      </c>
      <c r="G140" s="8" t="e">
        <f t="shared" si="13"/>
        <v>#N/A</v>
      </c>
      <c r="H140" s="8" t="e">
        <f t="shared" si="14"/>
        <v>#N/A</v>
      </c>
      <c r="I140" s="9" t="e">
        <f t="shared" si="15"/>
        <v>#N/A</v>
      </c>
      <c r="X140" s="3" t="e">
        <f t="shared" si="21"/>
        <v>#N/A</v>
      </c>
      <c r="Y140" s="4" t="e">
        <f t="shared" si="22"/>
        <v>#N/A</v>
      </c>
      <c r="Z140" s="4" t="e">
        <f t="shared" si="23"/>
        <v>#N/A</v>
      </c>
    </row>
    <row r="141" spans="1:26">
      <c r="A141" s="7" t="e">
        <f t="shared" si="16"/>
        <v>#N/A</v>
      </c>
      <c r="B141" s="8" t="e">
        <f t="shared" si="17"/>
        <v>#N/A</v>
      </c>
      <c r="C141" s="8" t="e">
        <f t="shared" si="18"/>
        <v>#N/A</v>
      </c>
      <c r="D141" s="8" t="e">
        <f t="shared" si="19"/>
        <v>#N/A</v>
      </c>
      <c r="E141" s="8" t="e">
        <f t="shared" ref="E141:E204" si="24">IF(ISNUMBER($A141),$B$8*$B$5,NA())</f>
        <v>#N/A</v>
      </c>
      <c r="F141" s="8" t="e">
        <f t="shared" si="20"/>
        <v>#N/A</v>
      </c>
      <c r="G141" s="8" t="e">
        <f t="shared" ref="G141:G204" si="25">IF(ISNUMBER($A141),MAX(0,D141-F141),NA())</f>
        <v>#N/A</v>
      </c>
      <c r="H141" s="8" t="e">
        <f t="shared" ref="H141:H204" si="26">IF(ISNUMBER($A141),F141-D141,NA())</f>
        <v>#N/A</v>
      </c>
      <c r="I141" s="9" t="e">
        <f t="shared" ref="I141:I204" si="27">IF(ISNUMBER($A141),IF(G141&gt;0,"Deposit / sell","OK"),NA())</f>
        <v>#N/A</v>
      </c>
      <c r="X141" s="3" t="e">
        <f t="shared" si="21"/>
        <v>#N/A</v>
      </c>
      <c r="Y141" s="4" t="e">
        <f t="shared" si="22"/>
        <v>#N/A</v>
      </c>
      <c r="Z141" s="4" t="e">
        <f t="shared" si="23"/>
        <v>#N/A</v>
      </c>
    </row>
    <row r="142" spans="1:26">
      <c r="A142" s="7" t="e">
        <f t="shared" ref="A142:A205" si="28">IF(ROW()-12&lt;=$B$9,ROW()-13,NA())</f>
        <v>#N/A</v>
      </c>
      <c r="B142" s="8" t="e">
        <f t="shared" ref="B142:B205" si="29">IF(ISNUMBER($A142),D141,NA())</f>
        <v>#N/A</v>
      </c>
      <c r="C142" s="8" t="e">
        <f t="shared" ref="C142:C205" si="30">IF(ISNUMBER($A142),B142*($B$7/12),NA())</f>
        <v>#N/A</v>
      </c>
      <c r="D142" s="8" t="e">
        <f t="shared" ref="D142:D205" si="31">IF(ISNUMBER($A142),B142+C142,NA())</f>
        <v>#N/A</v>
      </c>
      <c r="E142" s="8" t="e">
        <f t="shared" si="24"/>
        <v>#N/A</v>
      </c>
      <c r="F142" s="8" t="e">
        <f t="shared" ref="F142:F205" si="32">IF(ISNUMBER($A142),MIN($B$6,E142),NA())</f>
        <v>#N/A</v>
      </c>
      <c r="G142" s="8" t="e">
        <f t="shared" si="25"/>
        <v>#N/A</v>
      </c>
      <c r="H142" s="8" t="e">
        <f t="shared" si="26"/>
        <v>#N/A</v>
      </c>
      <c r="I142" s="9" t="e">
        <f t="shared" si="27"/>
        <v>#N/A</v>
      </c>
      <c r="X142" s="3" t="e">
        <f t="shared" ref="X142:X205" si="33">IF(ISNUMBER($A142),$A142,NA())</f>
        <v>#N/A</v>
      </c>
      <c r="Y142" s="4" t="e">
        <f t="shared" ref="Y142:Y205" si="34">IF(ISNUMBER($A142),$D142,NA())</f>
        <v>#N/A</v>
      </c>
      <c r="Z142" s="4" t="e">
        <f t="shared" ref="Z142:Z205" si="35">IF(ISNUMBER($A142),$F142,NA())</f>
        <v>#N/A</v>
      </c>
    </row>
    <row r="143" spans="1:26">
      <c r="A143" s="7" t="e">
        <f t="shared" si="28"/>
        <v>#N/A</v>
      </c>
      <c r="B143" s="8" t="e">
        <f t="shared" si="29"/>
        <v>#N/A</v>
      </c>
      <c r="C143" s="8" t="e">
        <f t="shared" si="30"/>
        <v>#N/A</v>
      </c>
      <c r="D143" s="8" t="e">
        <f t="shared" si="31"/>
        <v>#N/A</v>
      </c>
      <c r="E143" s="8" t="e">
        <f t="shared" si="24"/>
        <v>#N/A</v>
      </c>
      <c r="F143" s="8" t="e">
        <f t="shared" si="32"/>
        <v>#N/A</v>
      </c>
      <c r="G143" s="8" t="e">
        <f t="shared" si="25"/>
        <v>#N/A</v>
      </c>
      <c r="H143" s="8" t="e">
        <f t="shared" si="26"/>
        <v>#N/A</v>
      </c>
      <c r="I143" s="9" t="e">
        <f t="shared" si="27"/>
        <v>#N/A</v>
      </c>
      <c r="X143" s="3" t="e">
        <f t="shared" si="33"/>
        <v>#N/A</v>
      </c>
      <c r="Y143" s="4" t="e">
        <f t="shared" si="34"/>
        <v>#N/A</v>
      </c>
      <c r="Z143" s="4" t="e">
        <f t="shared" si="35"/>
        <v>#N/A</v>
      </c>
    </row>
    <row r="144" spans="1:26">
      <c r="A144" s="7" t="e">
        <f t="shared" si="28"/>
        <v>#N/A</v>
      </c>
      <c r="B144" s="8" t="e">
        <f t="shared" si="29"/>
        <v>#N/A</v>
      </c>
      <c r="C144" s="8" t="e">
        <f t="shared" si="30"/>
        <v>#N/A</v>
      </c>
      <c r="D144" s="8" t="e">
        <f t="shared" si="31"/>
        <v>#N/A</v>
      </c>
      <c r="E144" s="8" t="e">
        <f t="shared" si="24"/>
        <v>#N/A</v>
      </c>
      <c r="F144" s="8" t="e">
        <f t="shared" si="32"/>
        <v>#N/A</v>
      </c>
      <c r="G144" s="8" t="e">
        <f t="shared" si="25"/>
        <v>#N/A</v>
      </c>
      <c r="H144" s="8" t="e">
        <f t="shared" si="26"/>
        <v>#N/A</v>
      </c>
      <c r="I144" s="9" t="e">
        <f t="shared" si="27"/>
        <v>#N/A</v>
      </c>
      <c r="X144" s="3" t="e">
        <f t="shared" si="33"/>
        <v>#N/A</v>
      </c>
      <c r="Y144" s="4" t="e">
        <f t="shared" si="34"/>
        <v>#N/A</v>
      </c>
      <c r="Z144" s="4" t="e">
        <f t="shared" si="35"/>
        <v>#N/A</v>
      </c>
    </row>
    <row r="145" spans="1:26">
      <c r="A145" s="7" t="e">
        <f t="shared" si="28"/>
        <v>#N/A</v>
      </c>
      <c r="B145" s="8" t="e">
        <f t="shared" si="29"/>
        <v>#N/A</v>
      </c>
      <c r="C145" s="8" t="e">
        <f t="shared" si="30"/>
        <v>#N/A</v>
      </c>
      <c r="D145" s="8" t="e">
        <f t="shared" si="31"/>
        <v>#N/A</v>
      </c>
      <c r="E145" s="8" t="e">
        <f t="shared" si="24"/>
        <v>#N/A</v>
      </c>
      <c r="F145" s="8" t="e">
        <f t="shared" si="32"/>
        <v>#N/A</v>
      </c>
      <c r="G145" s="8" t="e">
        <f t="shared" si="25"/>
        <v>#N/A</v>
      </c>
      <c r="H145" s="8" t="e">
        <f t="shared" si="26"/>
        <v>#N/A</v>
      </c>
      <c r="I145" s="9" t="e">
        <f t="shared" si="27"/>
        <v>#N/A</v>
      </c>
      <c r="X145" s="3" t="e">
        <f t="shared" si="33"/>
        <v>#N/A</v>
      </c>
      <c r="Y145" s="4" t="e">
        <f t="shared" si="34"/>
        <v>#N/A</v>
      </c>
      <c r="Z145" s="4" t="e">
        <f t="shared" si="35"/>
        <v>#N/A</v>
      </c>
    </row>
    <row r="146" spans="1:26">
      <c r="A146" s="7" t="e">
        <f t="shared" si="28"/>
        <v>#N/A</v>
      </c>
      <c r="B146" s="8" t="e">
        <f t="shared" si="29"/>
        <v>#N/A</v>
      </c>
      <c r="C146" s="8" t="e">
        <f t="shared" si="30"/>
        <v>#N/A</v>
      </c>
      <c r="D146" s="8" t="e">
        <f t="shared" si="31"/>
        <v>#N/A</v>
      </c>
      <c r="E146" s="8" t="e">
        <f t="shared" si="24"/>
        <v>#N/A</v>
      </c>
      <c r="F146" s="8" t="e">
        <f t="shared" si="32"/>
        <v>#N/A</v>
      </c>
      <c r="G146" s="8" t="e">
        <f t="shared" si="25"/>
        <v>#N/A</v>
      </c>
      <c r="H146" s="8" t="e">
        <f t="shared" si="26"/>
        <v>#N/A</v>
      </c>
      <c r="I146" s="9" t="e">
        <f t="shared" si="27"/>
        <v>#N/A</v>
      </c>
      <c r="X146" s="3" t="e">
        <f t="shared" si="33"/>
        <v>#N/A</v>
      </c>
      <c r="Y146" s="4" t="e">
        <f t="shared" si="34"/>
        <v>#N/A</v>
      </c>
      <c r="Z146" s="4" t="e">
        <f t="shared" si="35"/>
        <v>#N/A</v>
      </c>
    </row>
    <row r="147" spans="1:26">
      <c r="A147" s="7" t="e">
        <f t="shared" si="28"/>
        <v>#N/A</v>
      </c>
      <c r="B147" s="8" t="e">
        <f t="shared" si="29"/>
        <v>#N/A</v>
      </c>
      <c r="C147" s="8" t="e">
        <f t="shared" si="30"/>
        <v>#N/A</v>
      </c>
      <c r="D147" s="8" t="e">
        <f t="shared" si="31"/>
        <v>#N/A</v>
      </c>
      <c r="E147" s="8" t="e">
        <f t="shared" si="24"/>
        <v>#N/A</v>
      </c>
      <c r="F147" s="8" t="e">
        <f t="shared" si="32"/>
        <v>#N/A</v>
      </c>
      <c r="G147" s="8" t="e">
        <f t="shared" si="25"/>
        <v>#N/A</v>
      </c>
      <c r="H147" s="8" t="e">
        <f t="shared" si="26"/>
        <v>#N/A</v>
      </c>
      <c r="I147" s="9" t="e">
        <f t="shared" si="27"/>
        <v>#N/A</v>
      </c>
      <c r="X147" s="3" t="e">
        <f t="shared" si="33"/>
        <v>#N/A</v>
      </c>
      <c r="Y147" s="4" t="e">
        <f t="shared" si="34"/>
        <v>#N/A</v>
      </c>
      <c r="Z147" s="4" t="e">
        <f t="shared" si="35"/>
        <v>#N/A</v>
      </c>
    </row>
    <row r="148" spans="1:26">
      <c r="A148" s="7" t="e">
        <f t="shared" si="28"/>
        <v>#N/A</v>
      </c>
      <c r="B148" s="8" t="e">
        <f t="shared" si="29"/>
        <v>#N/A</v>
      </c>
      <c r="C148" s="8" t="e">
        <f t="shared" si="30"/>
        <v>#N/A</v>
      </c>
      <c r="D148" s="8" t="e">
        <f t="shared" si="31"/>
        <v>#N/A</v>
      </c>
      <c r="E148" s="8" t="e">
        <f t="shared" si="24"/>
        <v>#N/A</v>
      </c>
      <c r="F148" s="8" t="e">
        <f t="shared" si="32"/>
        <v>#N/A</v>
      </c>
      <c r="G148" s="8" t="e">
        <f t="shared" si="25"/>
        <v>#N/A</v>
      </c>
      <c r="H148" s="8" t="e">
        <f t="shared" si="26"/>
        <v>#N/A</v>
      </c>
      <c r="I148" s="9" t="e">
        <f t="shared" si="27"/>
        <v>#N/A</v>
      </c>
      <c r="X148" s="3" t="e">
        <f t="shared" si="33"/>
        <v>#N/A</v>
      </c>
      <c r="Y148" s="4" t="e">
        <f t="shared" si="34"/>
        <v>#N/A</v>
      </c>
      <c r="Z148" s="4" t="e">
        <f t="shared" si="35"/>
        <v>#N/A</v>
      </c>
    </row>
    <row r="149" spans="1:26">
      <c r="A149" s="7" t="e">
        <f t="shared" si="28"/>
        <v>#N/A</v>
      </c>
      <c r="B149" s="8" t="e">
        <f t="shared" si="29"/>
        <v>#N/A</v>
      </c>
      <c r="C149" s="8" t="e">
        <f t="shared" si="30"/>
        <v>#N/A</v>
      </c>
      <c r="D149" s="8" t="e">
        <f t="shared" si="31"/>
        <v>#N/A</v>
      </c>
      <c r="E149" s="8" t="e">
        <f t="shared" si="24"/>
        <v>#N/A</v>
      </c>
      <c r="F149" s="8" t="e">
        <f t="shared" si="32"/>
        <v>#N/A</v>
      </c>
      <c r="G149" s="8" t="e">
        <f t="shared" si="25"/>
        <v>#N/A</v>
      </c>
      <c r="H149" s="8" t="e">
        <f t="shared" si="26"/>
        <v>#N/A</v>
      </c>
      <c r="I149" s="9" t="e">
        <f t="shared" si="27"/>
        <v>#N/A</v>
      </c>
      <c r="X149" s="3" t="e">
        <f t="shared" si="33"/>
        <v>#N/A</v>
      </c>
      <c r="Y149" s="4" t="e">
        <f t="shared" si="34"/>
        <v>#N/A</v>
      </c>
      <c r="Z149" s="4" t="e">
        <f t="shared" si="35"/>
        <v>#N/A</v>
      </c>
    </row>
    <row r="150" spans="1:26">
      <c r="A150" s="7" t="e">
        <f t="shared" si="28"/>
        <v>#N/A</v>
      </c>
      <c r="B150" s="8" t="e">
        <f t="shared" si="29"/>
        <v>#N/A</v>
      </c>
      <c r="C150" s="8" t="e">
        <f t="shared" si="30"/>
        <v>#N/A</v>
      </c>
      <c r="D150" s="8" t="e">
        <f t="shared" si="31"/>
        <v>#N/A</v>
      </c>
      <c r="E150" s="8" t="e">
        <f t="shared" si="24"/>
        <v>#N/A</v>
      </c>
      <c r="F150" s="8" t="e">
        <f t="shared" si="32"/>
        <v>#N/A</v>
      </c>
      <c r="G150" s="8" t="e">
        <f t="shared" si="25"/>
        <v>#N/A</v>
      </c>
      <c r="H150" s="8" t="e">
        <f t="shared" si="26"/>
        <v>#N/A</v>
      </c>
      <c r="I150" s="9" t="e">
        <f t="shared" si="27"/>
        <v>#N/A</v>
      </c>
      <c r="X150" s="3" t="e">
        <f t="shared" si="33"/>
        <v>#N/A</v>
      </c>
      <c r="Y150" s="4" t="e">
        <f t="shared" si="34"/>
        <v>#N/A</v>
      </c>
      <c r="Z150" s="4" t="e">
        <f t="shared" si="35"/>
        <v>#N/A</v>
      </c>
    </row>
    <row r="151" spans="1:26">
      <c r="A151" s="7" t="e">
        <f t="shared" si="28"/>
        <v>#N/A</v>
      </c>
      <c r="B151" s="8" t="e">
        <f t="shared" si="29"/>
        <v>#N/A</v>
      </c>
      <c r="C151" s="8" t="e">
        <f t="shared" si="30"/>
        <v>#N/A</v>
      </c>
      <c r="D151" s="8" t="e">
        <f t="shared" si="31"/>
        <v>#N/A</v>
      </c>
      <c r="E151" s="8" t="e">
        <f t="shared" si="24"/>
        <v>#N/A</v>
      </c>
      <c r="F151" s="8" t="e">
        <f t="shared" si="32"/>
        <v>#N/A</v>
      </c>
      <c r="G151" s="8" t="e">
        <f t="shared" si="25"/>
        <v>#N/A</v>
      </c>
      <c r="H151" s="8" t="e">
        <f t="shared" si="26"/>
        <v>#N/A</v>
      </c>
      <c r="I151" s="9" t="e">
        <f t="shared" si="27"/>
        <v>#N/A</v>
      </c>
      <c r="X151" s="3" t="e">
        <f t="shared" si="33"/>
        <v>#N/A</v>
      </c>
      <c r="Y151" s="4" t="e">
        <f t="shared" si="34"/>
        <v>#N/A</v>
      </c>
      <c r="Z151" s="4" t="e">
        <f t="shared" si="35"/>
        <v>#N/A</v>
      </c>
    </row>
    <row r="152" spans="1:26">
      <c r="A152" s="7" t="e">
        <f t="shared" si="28"/>
        <v>#N/A</v>
      </c>
      <c r="B152" s="8" t="e">
        <f t="shared" si="29"/>
        <v>#N/A</v>
      </c>
      <c r="C152" s="8" t="e">
        <f t="shared" si="30"/>
        <v>#N/A</v>
      </c>
      <c r="D152" s="8" t="e">
        <f t="shared" si="31"/>
        <v>#N/A</v>
      </c>
      <c r="E152" s="8" t="e">
        <f t="shared" si="24"/>
        <v>#N/A</v>
      </c>
      <c r="F152" s="8" t="e">
        <f t="shared" si="32"/>
        <v>#N/A</v>
      </c>
      <c r="G152" s="8" t="e">
        <f t="shared" si="25"/>
        <v>#N/A</v>
      </c>
      <c r="H152" s="8" t="e">
        <f t="shared" si="26"/>
        <v>#N/A</v>
      </c>
      <c r="I152" s="9" t="e">
        <f t="shared" si="27"/>
        <v>#N/A</v>
      </c>
      <c r="X152" s="3" t="e">
        <f t="shared" si="33"/>
        <v>#N/A</v>
      </c>
      <c r="Y152" s="4" t="e">
        <f t="shared" si="34"/>
        <v>#N/A</v>
      </c>
      <c r="Z152" s="4" t="e">
        <f t="shared" si="35"/>
        <v>#N/A</v>
      </c>
    </row>
    <row r="153" spans="1:26">
      <c r="A153" s="7" t="e">
        <f t="shared" si="28"/>
        <v>#N/A</v>
      </c>
      <c r="B153" s="8" t="e">
        <f t="shared" si="29"/>
        <v>#N/A</v>
      </c>
      <c r="C153" s="8" t="e">
        <f t="shared" si="30"/>
        <v>#N/A</v>
      </c>
      <c r="D153" s="8" t="e">
        <f t="shared" si="31"/>
        <v>#N/A</v>
      </c>
      <c r="E153" s="8" t="e">
        <f t="shared" si="24"/>
        <v>#N/A</v>
      </c>
      <c r="F153" s="8" t="e">
        <f t="shared" si="32"/>
        <v>#N/A</v>
      </c>
      <c r="G153" s="8" t="e">
        <f t="shared" si="25"/>
        <v>#N/A</v>
      </c>
      <c r="H153" s="8" t="e">
        <f t="shared" si="26"/>
        <v>#N/A</v>
      </c>
      <c r="I153" s="9" t="e">
        <f t="shared" si="27"/>
        <v>#N/A</v>
      </c>
      <c r="X153" s="3" t="e">
        <f t="shared" si="33"/>
        <v>#N/A</v>
      </c>
      <c r="Y153" s="4" t="e">
        <f t="shared" si="34"/>
        <v>#N/A</v>
      </c>
      <c r="Z153" s="4" t="e">
        <f t="shared" si="35"/>
        <v>#N/A</v>
      </c>
    </row>
    <row r="154" spans="1:26">
      <c r="A154" s="7" t="e">
        <f t="shared" si="28"/>
        <v>#N/A</v>
      </c>
      <c r="B154" s="8" t="e">
        <f t="shared" si="29"/>
        <v>#N/A</v>
      </c>
      <c r="C154" s="8" t="e">
        <f t="shared" si="30"/>
        <v>#N/A</v>
      </c>
      <c r="D154" s="8" t="e">
        <f t="shared" si="31"/>
        <v>#N/A</v>
      </c>
      <c r="E154" s="8" t="e">
        <f t="shared" si="24"/>
        <v>#N/A</v>
      </c>
      <c r="F154" s="8" t="e">
        <f t="shared" si="32"/>
        <v>#N/A</v>
      </c>
      <c r="G154" s="8" t="e">
        <f t="shared" si="25"/>
        <v>#N/A</v>
      </c>
      <c r="H154" s="8" t="e">
        <f t="shared" si="26"/>
        <v>#N/A</v>
      </c>
      <c r="I154" s="9" t="e">
        <f t="shared" si="27"/>
        <v>#N/A</v>
      </c>
      <c r="X154" s="3" t="e">
        <f t="shared" si="33"/>
        <v>#N/A</v>
      </c>
      <c r="Y154" s="4" t="e">
        <f t="shared" si="34"/>
        <v>#N/A</v>
      </c>
      <c r="Z154" s="4" t="e">
        <f t="shared" si="35"/>
        <v>#N/A</v>
      </c>
    </row>
    <row r="155" spans="1:26">
      <c r="A155" s="7" t="e">
        <f t="shared" si="28"/>
        <v>#N/A</v>
      </c>
      <c r="B155" s="8" t="e">
        <f t="shared" si="29"/>
        <v>#N/A</v>
      </c>
      <c r="C155" s="8" t="e">
        <f t="shared" si="30"/>
        <v>#N/A</v>
      </c>
      <c r="D155" s="8" t="e">
        <f t="shared" si="31"/>
        <v>#N/A</v>
      </c>
      <c r="E155" s="8" t="e">
        <f t="shared" si="24"/>
        <v>#N/A</v>
      </c>
      <c r="F155" s="8" t="e">
        <f t="shared" si="32"/>
        <v>#N/A</v>
      </c>
      <c r="G155" s="8" t="e">
        <f t="shared" si="25"/>
        <v>#N/A</v>
      </c>
      <c r="H155" s="8" t="e">
        <f t="shared" si="26"/>
        <v>#N/A</v>
      </c>
      <c r="I155" s="9" t="e">
        <f t="shared" si="27"/>
        <v>#N/A</v>
      </c>
      <c r="X155" s="3" t="e">
        <f t="shared" si="33"/>
        <v>#N/A</v>
      </c>
      <c r="Y155" s="4" t="e">
        <f t="shared" si="34"/>
        <v>#N/A</v>
      </c>
      <c r="Z155" s="4" t="e">
        <f t="shared" si="35"/>
        <v>#N/A</v>
      </c>
    </row>
    <row r="156" spans="1:26">
      <c r="A156" s="7" t="e">
        <f t="shared" si="28"/>
        <v>#N/A</v>
      </c>
      <c r="B156" s="8" t="e">
        <f t="shared" si="29"/>
        <v>#N/A</v>
      </c>
      <c r="C156" s="8" t="e">
        <f t="shared" si="30"/>
        <v>#N/A</v>
      </c>
      <c r="D156" s="8" t="e">
        <f t="shared" si="31"/>
        <v>#N/A</v>
      </c>
      <c r="E156" s="8" t="e">
        <f t="shared" si="24"/>
        <v>#N/A</v>
      </c>
      <c r="F156" s="8" t="e">
        <f t="shared" si="32"/>
        <v>#N/A</v>
      </c>
      <c r="G156" s="8" t="e">
        <f t="shared" si="25"/>
        <v>#N/A</v>
      </c>
      <c r="H156" s="8" t="e">
        <f t="shared" si="26"/>
        <v>#N/A</v>
      </c>
      <c r="I156" s="9" t="e">
        <f t="shared" si="27"/>
        <v>#N/A</v>
      </c>
      <c r="X156" s="3" t="e">
        <f t="shared" si="33"/>
        <v>#N/A</v>
      </c>
      <c r="Y156" s="4" t="e">
        <f t="shared" si="34"/>
        <v>#N/A</v>
      </c>
      <c r="Z156" s="4" t="e">
        <f t="shared" si="35"/>
        <v>#N/A</v>
      </c>
    </row>
    <row r="157" spans="1:26">
      <c r="A157" s="7" t="e">
        <f t="shared" si="28"/>
        <v>#N/A</v>
      </c>
      <c r="B157" s="8" t="e">
        <f t="shared" si="29"/>
        <v>#N/A</v>
      </c>
      <c r="C157" s="8" t="e">
        <f t="shared" si="30"/>
        <v>#N/A</v>
      </c>
      <c r="D157" s="8" t="e">
        <f t="shared" si="31"/>
        <v>#N/A</v>
      </c>
      <c r="E157" s="8" t="e">
        <f t="shared" si="24"/>
        <v>#N/A</v>
      </c>
      <c r="F157" s="8" t="e">
        <f t="shared" si="32"/>
        <v>#N/A</v>
      </c>
      <c r="G157" s="8" t="e">
        <f t="shared" si="25"/>
        <v>#N/A</v>
      </c>
      <c r="H157" s="8" t="e">
        <f t="shared" si="26"/>
        <v>#N/A</v>
      </c>
      <c r="I157" s="9" t="e">
        <f t="shared" si="27"/>
        <v>#N/A</v>
      </c>
      <c r="X157" s="3" t="e">
        <f t="shared" si="33"/>
        <v>#N/A</v>
      </c>
      <c r="Y157" s="4" t="e">
        <f t="shared" si="34"/>
        <v>#N/A</v>
      </c>
      <c r="Z157" s="4" t="e">
        <f t="shared" si="35"/>
        <v>#N/A</v>
      </c>
    </row>
    <row r="158" spans="1:26">
      <c r="A158" s="7" t="e">
        <f t="shared" si="28"/>
        <v>#N/A</v>
      </c>
      <c r="B158" s="8" t="e">
        <f t="shared" si="29"/>
        <v>#N/A</v>
      </c>
      <c r="C158" s="8" t="e">
        <f t="shared" si="30"/>
        <v>#N/A</v>
      </c>
      <c r="D158" s="8" t="e">
        <f t="shared" si="31"/>
        <v>#N/A</v>
      </c>
      <c r="E158" s="8" t="e">
        <f t="shared" si="24"/>
        <v>#N/A</v>
      </c>
      <c r="F158" s="8" t="e">
        <f t="shared" si="32"/>
        <v>#N/A</v>
      </c>
      <c r="G158" s="8" t="e">
        <f t="shared" si="25"/>
        <v>#N/A</v>
      </c>
      <c r="H158" s="8" t="e">
        <f t="shared" si="26"/>
        <v>#N/A</v>
      </c>
      <c r="I158" s="9" t="e">
        <f t="shared" si="27"/>
        <v>#N/A</v>
      </c>
      <c r="X158" s="3" t="e">
        <f t="shared" si="33"/>
        <v>#N/A</v>
      </c>
      <c r="Y158" s="4" t="e">
        <f t="shared" si="34"/>
        <v>#N/A</v>
      </c>
      <c r="Z158" s="4" t="e">
        <f t="shared" si="35"/>
        <v>#N/A</v>
      </c>
    </row>
    <row r="159" spans="1:26">
      <c r="A159" s="7" t="e">
        <f t="shared" si="28"/>
        <v>#N/A</v>
      </c>
      <c r="B159" s="8" t="e">
        <f t="shared" si="29"/>
        <v>#N/A</v>
      </c>
      <c r="C159" s="8" t="e">
        <f t="shared" si="30"/>
        <v>#N/A</v>
      </c>
      <c r="D159" s="8" t="e">
        <f t="shared" si="31"/>
        <v>#N/A</v>
      </c>
      <c r="E159" s="8" t="e">
        <f t="shared" si="24"/>
        <v>#N/A</v>
      </c>
      <c r="F159" s="8" t="e">
        <f t="shared" si="32"/>
        <v>#N/A</v>
      </c>
      <c r="G159" s="8" t="e">
        <f t="shared" si="25"/>
        <v>#N/A</v>
      </c>
      <c r="H159" s="8" t="e">
        <f t="shared" si="26"/>
        <v>#N/A</v>
      </c>
      <c r="I159" s="9" t="e">
        <f t="shared" si="27"/>
        <v>#N/A</v>
      </c>
      <c r="X159" s="3" t="e">
        <f t="shared" si="33"/>
        <v>#N/A</v>
      </c>
      <c r="Y159" s="4" t="e">
        <f t="shared" si="34"/>
        <v>#N/A</v>
      </c>
      <c r="Z159" s="4" t="e">
        <f t="shared" si="35"/>
        <v>#N/A</v>
      </c>
    </row>
    <row r="160" spans="1:26">
      <c r="A160" s="7" t="e">
        <f t="shared" si="28"/>
        <v>#N/A</v>
      </c>
      <c r="B160" s="8" t="e">
        <f t="shared" si="29"/>
        <v>#N/A</v>
      </c>
      <c r="C160" s="8" t="e">
        <f t="shared" si="30"/>
        <v>#N/A</v>
      </c>
      <c r="D160" s="8" t="e">
        <f t="shared" si="31"/>
        <v>#N/A</v>
      </c>
      <c r="E160" s="8" t="e">
        <f t="shared" si="24"/>
        <v>#N/A</v>
      </c>
      <c r="F160" s="8" t="e">
        <f t="shared" si="32"/>
        <v>#N/A</v>
      </c>
      <c r="G160" s="8" t="e">
        <f t="shared" si="25"/>
        <v>#N/A</v>
      </c>
      <c r="H160" s="8" t="e">
        <f t="shared" si="26"/>
        <v>#N/A</v>
      </c>
      <c r="I160" s="9" t="e">
        <f t="shared" si="27"/>
        <v>#N/A</v>
      </c>
      <c r="X160" s="3" t="e">
        <f t="shared" si="33"/>
        <v>#N/A</v>
      </c>
      <c r="Y160" s="4" t="e">
        <f t="shared" si="34"/>
        <v>#N/A</v>
      </c>
      <c r="Z160" s="4" t="e">
        <f t="shared" si="35"/>
        <v>#N/A</v>
      </c>
    </row>
    <row r="161" spans="1:26">
      <c r="A161" s="7" t="e">
        <f t="shared" si="28"/>
        <v>#N/A</v>
      </c>
      <c r="B161" s="8" t="e">
        <f t="shared" si="29"/>
        <v>#N/A</v>
      </c>
      <c r="C161" s="8" t="e">
        <f t="shared" si="30"/>
        <v>#N/A</v>
      </c>
      <c r="D161" s="8" t="e">
        <f t="shared" si="31"/>
        <v>#N/A</v>
      </c>
      <c r="E161" s="8" t="e">
        <f t="shared" si="24"/>
        <v>#N/A</v>
      </c>
      <c r="F161" s="8" t="e">
        <f t="shared" si="32"/>
        <v>#N/A</v>
      </c>
      <c r="G161" s="8" t="e">
        <f t="shared" si="25"/>
        <v>#N/A</v>
      </c>
      <c r="H161" s="8" t="e">
        <f t="shared" si="26"/>
        <v>#N/A</v>
      </c>
      <c r="I161" s="9" t="e">
        <f t="shared" si="27"/>
        <v>#N/A</v>
      </c>
      <c r="X161" s="3" t="e">
        <f t="shared" si="33"/>
        <v>#N/A</v>
      </c>
      <c r="Y161" s="4" t="e">
        <f t="shared" si="34"/>
        <v>#N/A</v>
      </c>
      <c r="Z161" s="4" t="e">
        <f t="shared" si="35"/>
        <v>#N/A</v>
      </c>
    </row>
    <row r="162" spans="1:26">
      <c r="A162" s="7" t="e">
        <f t="shared" si="28"/>
        <v>#N/A</v>
      </c>
      <c r="B162" s="8" t="e">
        <f t="shared" si="29"/>
        <v>#N/A</v>
      </c>
      <c r="C162" s="8" t="e">
        <f t="shared" si="30"/>
        <v>#N/A</v>
      </c>
      <c r="D162" s="8" t="e">
        <f t="shared" si="31"/>
        <v>#N/A</v>
      </c>
      <c r="E162" s="8" t="e">
        <f t="shared" si="24"/>
        <v>#N/A</v>
      </c>
      <c r="F162" s="8" t="e">
        <f t="shared" si="32"/>
        <v>#N/A</v>
      </c>
      <c r="G162" s="8" t="e">
        <f t="shared" si="25"/>
        <v>#N/A</v>
      </c>
      <c r="H162" s="8" t="e">
        <f t="shared" si="26"/>
        <v>#N/A</v>
      </c>
      <c r="I162" s="9" t="e">
        <f t="shared" si="27"/>
        <v>#N/A</v>
      </c>
      <c r="X162" s="3" t="e">
        <f t="shared" si="33"/>
        <v>#N/A</v>
      </c>
      <c r="Y162" s="4" t="e">
        <f t="shared" si="34"/>
        <v>#N/A</v>
      </c>
      <c r="Z162" s="4" t="e">
        <f t="shared" si="35"/>
        <v>#N/A</v>
      </c>
    </row>
    <row r="163" spans="1:26">
      <c r="A163" s="7" t="e">
        <f t="shared" si="28"/>
        <v>#N/A</v>
      </c>
      <c r="B163" s="8" t="e">
        <f t="shared" si="29"/>
        <v>#N/A</v>
      </c>
      <c r="C163" s="8" t="e">
        <f t="shared" si="30"/>
        <v>#N/A</v>
      </c>
      <c r="D163" s="8" t="e">
        <f t="shared" si="31"/>
        <v>#N/A</v>
      </c>
      <c r="E163" s="8" t="e">
        <f t="shared" si="24"/>
        <v>#N/A</v>
      </c>
      <c r="F163" s="8" t="e">
        <f t="shared" si="32"/>
        <v>#N/A</v>
      </c>
      <c r="G163" s="8" t="e">
        <f t="shared" si="25"/>
        <v>#N/A</v>
      </c>
      <c r="H163" s="8" t="e">
        <f t="shared" si="26"/>
        <v>#N/A</v>
      </c>
      <c r="I163" s="9" t="e">
        <f t="shared" si="27"/>
        <v>#N/A</v>
      </c>
      <c r="X163" s="3" t="e">
        <f t="shared" si="33"/>
        <v>#N/A</v>
      </c>
      <c r="Y163" s="4" t="e">
        <f t="shared" si="34"/>
        <v>#N/A</v>
      </c>
      <c r="Z163" s="4" t="e">
        <f t="shared" si="35"/>
        <v>#N/A</v>
      </c>
    </row>
    <row r="164" spans="1:26">
      <c r="A164" s="7" t="e">
        <f t="shared" si="28"/>
        <v>#N/A</v>
      </c>
      <c r="B164" s="8" t="e">
        <f t="shared" si="29"/>
        <v>#N/A</v>
      </c>
      <c r="C164" s="8" t="e">
        <f t="shared" si="30"/>
        <v>#N/A</v>
      </c>
      <c r="D164" s="8" t="e">
        <f t="shared" si="31"/>
        <v>#N/A</v>
      </c>
      <c r="E164" s="8" t="e">
        <f t="shared" si="24"/>
        <v>#N/A</v>
      </c>
      <c r="F164" s="8" t="e">
        <f t="shared" si="32"/>
        <v>#N/A</v>
      </c>
      <c r="G164" s="8" t="e">
        <f t="shared" si="25"/>
        <v>#N/A</v>
      </c>
      <c r="H164" s="8" t="e">
        <f t="shared" si="26"/>
        <v>#N/A</v>
      </c>
      <c r="I164" s="9" t="e">
        <f t="shared" si="27"/>
        <v>#N/A</v>
      </c>
      <c r="X164" s="3" t="e">
        <f t="shared" si="33"/>
        <v>#N/A</v>
      </c>
      <c r="Y164" s="4" t="e">
        <f t="shared" si="34"/>
        <v>#N/A</v>
      </c>
      <c r="Z164" s="4" t="e">
        <f t="shared" si="35"/>
        <v>#N/A</v>
      </c>
    </row>
    <row r="165" spans="1:26">
      <c r="A165" s="7" t="e">
        <f t="shared" si="28"/>
        <v>#N/A</v>
      </c>
      <c r="B165" s="8" t="e">
        <f t="shared" si="29"/>
        <v>#N/A</v>
      </c>
      <c r="C165" s="8" t="e">
        <f t="shared" si="30"/>
        <v>#N/A</v>
      </c>
      <c r="D165" s="8" t="e">
        <f t="shared" si="31"/>
        <v>#N/A</v>
      </c>
      <c r="E165" s="8" t="e">
        <f t="shared" si="24"/>
        <v>#N/A</v>
      </c>
      <c r="F165" s="8" t="e">
        <f t="shared" si="32"/>
        <v>#N/A</v>
      </c>
      <c r="G165" s="8" t="e">
        <f t="shared" si="25"/>
        <v>#N/A</v>
      </c>
      <c r="H165" s="8" t="e">
        <f t="shared" si="26"/>
        <v>#N/A</v>
      </c>
      <c r="I165" s="9" t="e">
        <f t="shared" si="27"/>
        <v>#N/A</v>
      </c>
      <c r="X165" s="3" t="e">
        <f t="shared" si="33"/>
        <v>#N/A</v>
      </c>
      <c r="Y165" s="4" t="e">
        <f t="shared" si="34"/>
        <v>#N/A</v>
      </c>
      <c r="Z165" s="4" t="e">
        <f t="shared" si="35"/>
        <v>#N/A</v>
      </c>
    </row>
    <row r="166" spans="1:26">
      <c r="A166" s="7" t="e">
        <f t="shared" si="28"/>
        <v>#N/A</v>
      </c>
      <c r="B166" s="8" t="e">
        <f t="shared" si="29"/>
        <v>#N/A</v>
      </c>
      <c r="C166" s="8" t="e">
        <f t="shared" si="30"/>
        <v>#N/A</v>
      </c>
      <c r="D166" s="8" t="e">
        <f t="shared" si="31"/>
        <v>#N/A</v>
      </c>
      <c r="E166" s="8" t="e">
        <f t="shared" si="24"/>
        <v>#N/A</v>
      </c>
      <c r="F166" s="8" t="e">
        <f t="shared" si="32"/>
        <v>#N/A</v>
      </c>
      <c r="G166" s="8" t="e">
        <f t="shared" si="25"/>
        <v>#N/A</v>
      </c>
      <c r="H166" s="8" t="e">
        <f t="shared" si="26"/>
        <v>#N/A</v>
      </c>
      <c r="I166" s="9" t="e">
        <f t="shared" si="27"/>
        <v>#N/A</v>
      </c>
      <c r="X166" s="3" t="e">
        <f t="shared" si="33"/>
        <v>#N/A</v>
      </c>
      <c r="Y166" s="4" t="e">
        <f t="shared" si="34"/>
        <v>#N/A</v>
      </c>
      <c r="Z166" s="4" t="e">
        <f t="shared" si="35"/>
        <v>#N/A</v>
      </c>
    </row>
    <row r="167" spans="1:26">
      <c r="A167" s="7" t="e">
        <f t="shared" si="28"/>
        <v>#N/A</v>
      </c>
      <c r="B167" s="8" t="e">
        <f t="shared" si="29"/>
        <v>#N/A</v>
      </c>
      <c r="C167" s="8" t="e">
        <f t="shared" si="30"/>
        <v>#N/A</v>
      </c>
      <c r="D167" s="8" t="e">
        <f t="shared" si="31"/>
        <v>#N/A</v>
      </c>
      <c r="E167" s="8" t="e">
        <f t="shared" si="24"/>
        <v>#N/A</v>
      </c>
      <c r="F167" s="8" t="e">
        <f t="shared" si="32"/>
        <v>#N/A</v>
      </c>
      <c r="G167" s="8" t="e">
        <f t="shared" si="25"/>
        <v>#N/A</v>
      </c>
      <c r="H167" s="8" t="e">
        <f t="shared" si="26"/>
        <v>#N/A</v>
      </c>
      <c r="I167" s="9" t="e">
        <f t="shared" si="27"/>
        <v>#N/A</v>
      </c>
      <c r="X167" s="3" t="e">
        <f t="shared" si="33"/>
        <v>#N/A</v>
      </c>
      <c r="Y167" s="4" t="e">
        <f t="shared" si="34"/>
        <v>#N/A</v>
      </c>
      <c r="Z167" s="4" t="e">
        <f t="shared" si="35"/>
        <v>#N/A</v>
      </c>
    </row>
    <row r="168" spans="1:26">
      <c r="A168" s="7" t="e">
        <f t="shared" si="28"/>
        <v>#N/A</v>
      </c>
      <c r="B168" s="8" t="e">
        <f t="shared" si="29"/>
        <v>#N/A</v>
      </c>
      <c r="C168" s="8" t="e">
        <f t="shared" si="30"/>
        <v>#N/A</v>
      </c>
      <c r="D168" s="8" t="e">
        <f t="shared" si="31"/>
        <v>#N/A</v>
      </c>
      <c r="E168" s="8" t="e">
        <f t="shared" si="24"/>
        <v>#N/A</v>
      </c>
      <c r="F168" s="8" t="e">
        <f t="shared" si="32"/>
        <v>#N/A</v>
      </c>
      <c r="G168" s="8" t="e">
        <f t="shared" si="25"/>
        <v>#N/A</v>
      </c>
      <c r="H168" s="8" t="e">
        <f t="shared" si="26"/>
        <v>#N/A</v>
      </c>
      <c r="I168" s="9" t="e">
        <f t="shared" si="27"/>
        <v>#N/A</v>
      </c>
      <c r="X168" s="3" t="e">
        <f t="shared" si="33"/>
        <v>#N/A</v>
      </c>
      <c r="Y168" s="4" t="e">
        <f t="shared" si="34"/>
        <v>#N/A</v>
      </c>
      <c r="Z168" s="4" t="e">
        <f t="shared" si="35"/>
        <v>#N/A</v>
      </c>
    </row>
    <row r="169" spans="1:26">
      <c r="A169" s="7" t="e">
        <f t="shared" si="28"/>
        <v>#N/A</v>
      </c>
      <c r="B169" s="8" t="e">
        <f t="shared" si="29"/>
        <v>#N/A</v>
      </c>
      <c r="C169" s="8" t="e">
        <f t="shared" si="30"/>
        <v>#N/A</v>
      </c>
      <c r="D169" s="8" t="e">
        <f t="shared" si="31"/>
        <v>#N/A</v>
      </c>
      <c r="E169" s="8" t="e">
        <f t="shared" si="24"/>
        <v>#N/A</v>
      </c>
      <c r="F169" s="8" t="e">
        <f t="shared" si="32"/>
        <v>#N/A</v>
      </c>
      <c r="G169" s="8" t="e">
        <f t="shared" si="25"/>
        <v>#N/A</v>
      </c>
      <c r="H169" s="8" t="e">
        <f t="shared" si="26"/>
        <v>#N/A</v>
      </c>
      <c r="I169" s="9" t="e">
        <f t="shared" si="27"/>
        <v>#N/A</v>
      </c>
      <c r="X169" s="3" t="e">
        <f t="shared" si="33"/>
        <v>#N/A</v>
      </c>
      <c r="Y169" s="4" t="e">
        <f t="shared" si="34"/>
        <v>#N/A</v>
      </c>
      <c r="Z169" s="4" t="e">
        <f t="shared" si="35"/>
        <v>#N/A</v>
      </c>
    </row>
    <row r="170" spans="1:26">
      <c r="A170" s="7" t="e">
        <f t="shared" si="28"/>
        <v>#N/A</v>
      </c>
      <c r="B170" s="8" t="e">
        <f t="shared" si="29"/>
        <v>#N/A</v>
      </c>
      <c r="C170" s="8" t="e">
        <f t="shared" si="30"/>
        <v>#N/A</v>
      </c>
      <c r="D170" s="8" t="e">
        <f t="shared" si="31"/>
        <v>#N/A</v>
      </c>
      <c r="E170" s="8" t="e">
        <f t="shared" si="24"/>
        <v>#N/A</v>
      </c>
      <c r="F170" s="8" t="e">
        <f t="shared" si="32"/>
        <v>#N/A</v>
      </c>
      <c r="G170" s="8" t="e">
        <f t="shared" si="25"/>
        <v>#N/A</v>
      </c>
      <c r="H170" s="8" t="e">
        <f t="shared" si="26"/>
        <v>#N/A</v>
      </c>
      <c r="I170" s="9" t="e">
        <f t="shared" si="27"/>
        <v>#N/A</v>
      </c>
      <c r="X170" s="3" t="e">
        <f t="shared" si="33"/>
        <v>#N/A</v>
      </c>
      <c r="Y170" s="4" t="e">
        <f t="shared" si="34"/>
        <v>#N/A</v>
      </c>
      <c r="Z170" s="4" t="e">
        <f t="shared" si="35"/>
        <v>#N/A</v>
      </c>
    </row>
    <row r="171" spans="1:26">
      <c r="A171" s="7" t="e">
        <f t="shared" si="28"/>
        <v>#N/A</v>
      </c>
      <c r="B171" s="8" t="e">
        <f t="shared" si="29"/>
        <v>#N/A</v>
      </c>
      <c r="C171" s="8" t="e">
        <f t="shared" si="30"/>
        <v>#N/A</v>
      </c>
      <c r="D171" s="8" t="e">
        <f t="shared" si="31"/>
        <v>#N/A</v>
      </c>
      <c r="E171" s="8" t="e">
        <f t="shared" si="24"/>
        <v>#N/A</v>
      </c>
      <c r="F171" s="8" t="e">
        <f t="shared" si="32"/>
        <v>#N/A</v>
      </c>
      <c r="G171" s="8" t="e">
        <f t="shared" si="25"/>
        <v>#N/A</v>
      </c>
      <c r="H171" s="8" t="e">
        <f t="shared" si="26"/>
        <v>#N/A</v>
      </c>
      <c r="I171" s="9" t="e">
        <f t="shared" si="27"/>
        <v>#N/A</v>
      </c>
      <c r="X171" s="3" t="e">
        <f t="shared" si="33"/>
        <v>#N/A</v>
      </c>
      <c r="Y171" s="4" t="e">
        <f t="shared" si="34"/>
        <v>#N/A</v>
      </c>
      <c r="Z171" s="4" t="e">
        <f t="shared" si="35"/>
        <v>#N/A</v>
      </c>
    </row>
    <row r="172" spans="1:26">
      <c r="A172" s="7" t="e">
        <f t="shared" si="28"/>
        <v>#N/A</v>
      </c>
      <c r="B172" s="8" t="e">
        <f t="shared" si="29"/>
        <v>#N/A</v>
      </c>
      <c r="C172" s="8" t="e">
        <f t="shared" si="30"/>
        <v>#N/A</v>
      </c>
      <c r="D172" s="8" t="e">
        <f t="shared" si="31"/>
        <v>#N/A</v>
      </c>
      <c r="E172" s="8" t="e">
        <f t="shared" si="24"/>
        <v>#N/A</v>
      </c>
      <c r="F172" s="8" t="e">
        <f t="shared" si="32"/>
        <v>#N/A</v>
      </c>
      <c r="G172" s="8" t="e">
        <f t="shared" si="25"/>
        <v>#N/A</v>
      </c>
      <c r="H172" s="8" t="e">
        <f t="shared" si="26"/>
        <v>#N/A</v>
      </c>
      <c r="I172" s="9" t="e">
        <f t="shared" si="27"/>
        <v>#N/A</v>
      </c>
      <c r="X172" s="3" t="e">
        <f t="shared" si="33"/>
        <v>#N/A</v>
      </c>
      <c r="Y172" s="4" t="e">
        <f t="shared" si="34"/>
        <v>#N/A</v>
      </c>
      <c r="Z172" s="4" t="e">
        <f t="shared" si="35"/>
        <v>#N/A</v>
      </c>
    </row>
    <row r="173" spans="1:26">
      <c r="A173" s="7" t="e">
        <f t="shared" si="28"/>
        <v>#N/A</v>
      </c>
      <c r="B173" s="8" t="e">
        <f t="shared" si="29"/>
        <v>#N/A</v>
      </c>
      <c r="C173" s="8" t="e">
        <f t="shared" si="30"/>
        <v>#N/A</v>
      </c>
      <c r="D173" s="8" t="e">
        <f t="shared" si="31"/>
        <v>#N/A</v>
      </c>
      <c r="E173" s="8" t="e">
        <f t="shared" si="24"/>
        <v>#N/A</v>
      </c>
      <c r="F173" s="8" t="e">
        <f t="shared" si="32"/>
        <v>#N/A</v>
      </c>
      <c r="G173" s="8" t="e">
        <f t="shared" si="25"/>
        <v>#N/A</v>
      </c>
      <c r="H173" s="8" t="e">
        <f t="shared" si="26"/>
        <v>#N/A</v>
      </c>
      <c r="I173" s="9" t="e">
        <f t="shared" si="27"/>
        <v>#N/A</v>
      </c>
      <c r="X173" s="3" t="e">
        <f t="shared" si="33"/>
        <v>#N/A</v>
      </c>
      <c r="Y173" s="4" t="e">
        <f t="shared" si="34"/>
        <v>#N/A</v>
      </c>
      <c r="Z173" s="4" t="e">
        <f t="shared" si="35"/>
        <v>#N/A</v>
      </c>
    </row>
    <row r="174" spans="1:26">
      <c r="A174" s="7" t="e">
        <f t="shared" si="28"/>
        <v>#N/A</v>
      </c>
      <c r="B174" s="8" t="e">
        <f t="shared" si="29"/>
        <v>#N/A</v>
      </c>
      <c r="C174" s="8" t="e">
        <f t="shared" si="30"/>
        <v>#N/A</v>
      </c>
      <c r="D174" s="8" t="e">
        <f t="shared" si="31"/>
        <v>#N/A</v>
      </c>
      <c r="E174" s="8" t="e">
        <f t="shared" si="24"/>
        <v>#N/A</v>
      </c>
      <c r="F174" s="8" t="e">
        <f t="shared" si="32"/>
        <v>#N/A</v>
      </c>
      <c r="G174" s="8" t="e">
        <f t="shared" si="25"/>
        <v>#N/A</v>
      </c>
      <c r="H174" s="8" t="e">
        <f t="shared" si="26"/>
        <v>#N/A</v>
      </c>
      <c r="I174" s="9" t="e">
        <f t="shared" si="27"/>
        <v>#N/A</v>
      </c>
      <c r="X174" s="3" t="e">
        <f t="shared" si="33"/>
        <v>#N/A</v>
      </c>
      <c r="Y174" s="4" t="e">
        <f t="shared" si="34"/>
        <v>#N/A</v>
      </c>
      <c r="Z174" s="4" t="e">
        <f t="shared" si="35"/>
        <v>#N/A</v>
      </c>
    </row>
    <row r="175" spans="1:26">
      <c r="A175" s="7" t="e">
        <f t="shared" si="28"/>
        <v>#N/A</v>
      </c>
      <c r="B175" s="8" t="e">
        <f t="shared" si="29"/>
        <v>#N/A</v>
      </c>
      <c r="C175" s="8" t="e">
        <f t="shared" si="30"/>
        <v>#N/A</v>
      </c>
      <c r="D175" s="8" t="e">
        <f t="shared" si="31"/>
        <v>#N/A</v>
      </c>
      <c r="E175" s="8" t="e">
        <f t="shared" si="24"/>
        <v>#N/A</v>
      </c>
      <c r="F175" s="8" t="e">
        <f t="shared" si="32"/>
        <v>#N/A</v>
      </c>
      <c r="G175" s="8" t="e">
        <f t="shared" si="25"/>
        <v>#N/A</v>
      </c>
      <c r="H175" s="8" t="e">
        <f t="shared" si="26"/>
        <v>#N/A</v>
      </c>
      <c r="I175" s="9" t="e">
        <f t="shared" si="27"/>
        <v>#N/A</v>
      </c>
      <c r="X175" s="3" t="e">
        <f t="shared" si="33"/>
        <v>#N/A</v>
      </c>
      <c r="Y175" s="4" t="e">
        <f t="shared" si="34"/>
        <v>#N/A</v>
      </c>
      <c r="Z175" s="4" t="e">
        <f t="shared" si="35"/>
        <v>#N/A</v>
      </c>
    </row>
    <row r="176" spans="1:26">
      <c r="A176" s="7" t="e">
        <f t="shared" si="28"/>
        <v>#N/A</v>
      </c>
      <c r="B176" s="8" t="e">
        <f t="shared" si="29"/>
        <v>#N/A</v>
      </c>
      <c r="C176" s="8" t="e">
        <f t="shared" si="30"/>
        <v>#N/A</v>
      </c>
      <c r="D176" s="8" t="e">
        <f t="shared" si="31"/>
        <v>#N/A</v>
      </c>
      <c r="E176" s="8" t="e">
        <f t="shared" si="24"/>
        <v>#N/A</v>
      </c>
      <c r="F176" s="8" t="e">
        <f t="shared" si="32"/>
        <v>#N/A</v>
      </c>
      <c r="G176" s="8" t="e">
        <f t="shared" si="25"/>
        <v>#N/A</v>
      </c>
      <c r="H176" s="8" t="e">
        <f t="shared" si="26"/>
        <v>#N/A</v>
      </c>
      <c r="I176" s="9" t="e">
        <f t="shared" si="27"/>
        <v>#N/A</v>
      </c>
      <c r="X176" s="3" t="e">
        <f t="shared" si="33"/>
        <v>#N/A</v>
      </c>
      <c r="Y176" s="4" t="e">
        <f t="shared" si="34"/>
        <v>#N/A</v>
      </c>
      <c r="Z176" s="4" t="e">
        <f t="shared" si="35"/>
        <v>#N/A</v>
      </c>
    </row>
    <row r="177" spans="1:26">
      <c r="A177" s="7" t="e">
        <f t="shared" si="28"/>
        <v>#N/A</v>
      </c>
      <c r="B177" s="8" t="e">
        <f t="shared" si="29"/>
        <v>#N/A</v>
      </c>
      <c r="C177" s="8" t="e">
        <f t="shared" si="30"/>
        <v>#N/A</v>
      </c>
      <c r="D177" s="8" t="e">
        <f t="shared" si="31"/>
        <v>#N/A</v>
      </c>
      <c r="E177" s="8" t="e">
        <f t="shared" si="24"/>
        <v>#N/A</v>
      </c>
      <c r="F177" s="8" t="e">
        <f t="shared" si="32"/>
        <v>#N/A</v>
      </c>
      <c r="G177" s="8" t="e">
        <f t="shared" si="25"/>
        <v>#N/A</v>
      </c>
      <c r="H177" s="8" t="e">
        <f t="shared" si="26"/>
        <v>#N/A</v>
      </c>
      <c r="I177" s="9" t="e">
        <f t="shared" si="27"/>
        <v>#N/A</v>
      </c>
      <c r="X177" s="3" t="e">
        <f t="shared" si="33"/>
        <v>#N/A</v>
      </c>
      <c r="Y177" s="4" t="e">
        <f t="shared" si="34"/>
        <v>#N/A</v>
      </c>
      <c r="Z177" s="4" t="e">
        <f t="shared" si="35"/>
        <v>#N/A</v>
      </c>
    </row>
    <row r="178" spans="1:26">
      <c r="A178" s="7" t="e">
        <f t="shared" si="28"/>
        <v>#N/A</v>
      </c>
      <c r="B178" s="8" t="e">
        <f t="shared" si="29"/>
        <v>#N/A</v>
      </c>
      <c r="C178" s="8" t="e">
        <f t="shared" si="30"/>
        <v>#N/A</v>
      </c>
      <c r="D178" s="8" t="e">
        <f t="shared" si="31"/>
        <v>#N/A</v>
      </c>
      <c r="E178" s="8" t="e">
        <f t="shared" si="24"/>
        <v>#N/A</v>
      </c>
      <c r="F178" s="8" t="e">
        <f t="shared" si="32"/>
        <v>#N/A</v>
      </c>
      <c r="G178" s="8" t="e">
        <f t="shared" si="25"/>
        <v>#N/A</v>
      </c>
      <c r="H178" s="8" t="e">
        <f t="shared" si="26"/>
        <v>#N/A</v>
      </c>
      <c r="I178" s="9" t="e">
        <f t="shared" si="27"/>
        <v>#N/A</v>
      </c>
      <c r="X178" s="3" t="e">
        <f t="shared" si="33"/>
        <v>#N/A</v>
      </c>
      <c r="Y178" s="4" t="e">
        <f t="shared" si="34"/>
        <v>#N/A</v>
      </c>
      <c r="Z178" s="4" t="e">
        <f t="shared" si="35"/>
        <v>#N/A</v>
      </c>
    </row>
    <row r="179" spans="1:26">
      <c r="A179" s="7" t="e">
        <f t="shared" si="28"/>
        <v>#N/A</v>
      </c>
      <c r="B179" s="8" t="e">
        <f t="shared" si="29"/>
        <v>#N/A</v>
      </c>
      <c r="C179" s="8" t="e">
        <f t="shared" si="30"/>
        <v>#N/A</v>
      </c>
      <c r="D179" s="8" t="e">
        <f t="shared" si="31"/>
        <v>#N/A</v>
      </c>
      <c r="E179" s="8" t="e">
        <f t="shared" si="24"/>
        <v>#N/A</v>
      </c>
      <c r="F179" s="8" t="e">
        <f t="shared" si="32"/>
        <v>#N/A</v>
      </c>
      <c r="G179" s="8" t="e">
        <f t="shared" si="25"/>
        <v>#N/A</v>
      </c>
      <c r="H179" s="8" t="e">
        <f t="shared" si="26"/>
        <v>#N/A</v>
      </c>
      <c r="I179" s="9" t="e">
        <f t="shared" si="27"/>
        <v>#N/A</v>
      </c>
      <c r="X179" s="3" t="e">
        <f t="shared" si="33"/>
        <v>#N/A</v>
      </c>
      <c r="Y179" s="4" t="e">
        <f t="shared" si="34"/>
        <v>#N/A</v>
      </c>
      <c r="Z179" s="4" t="e">
        <f t="shared" si="35"/>
        <v>#N/A</v>
      </c>
    </row>
    <row r="180" spans="1:26">
      <c r="A180" s="7" t="e">
        <f t="shared" si="28"/>
        <v>#N/A</v>
      </c>
      <c r="B180" s="8" t="e">
        <f t="shared" si="29"/>
        <v>#N/A</v>
      </c>
      <c r="C180" s="8" t="e">
        <f t="shared" si="30"/>
        <v>#N/A</v>
      </c>
      <c r="D180" s="8" t="e">
        <f t="shared" si="31"/>
        <v>#N/A</v>
      </c>
      <c r="E180" s="8" t="e">
        <f t="shared" si="24"/>
        <v>#N/A</v>
      </c>
      <c r="F180" s="8" t="e">
        <f t="shared" si="32"/>
        <v>#N/A</v>
      </c>
      <c r="G180" s="8" t="e">
        <f t="shared" si="25"/>
        <v>#N/A</v>
      </c>
      <c r="H180" s="8" t="e">
        <f t="shared" si="26"/>
        <v>#N/A</v>
      </c>
      <c r="I180" s="9" t="e">
        <f t="shared" si="27"/>
        <v>#N/A</v>
      </c>
      <c r="X180" s="3" t="e">
        <f t="shared" si="33"/>
        <v>#N/A</v>
      </c>
      <c r="Y180" s="4" t="e">
        <f t="shared" si="34"/>
        <v>#N/A</v>
      </c>
      <c r="Z180" s="4" t="e">
        <f t="shared" si="35"/>
        <v>#N/A</v>
      </c>
    </row>
    <row r="181" spans="1:26">
      <c r="A181" s="7" t="e">
        <f t="shared" si="28"/>
        <v>#N/A</v>
      </c>
      <c r="B181" s="8" t="e">
        <f t="shared" si="29"/>
        <v>#N/A</v>
      </c>
      <c r="C181" s="8" t="e">
        <f t="shared" si="30"/>
        <v>#N/A</v>
      </c>
      <c r="D181" s="8" t="e">
        <f t="shared" si="31"/>
        <v>#N/A</v>
      </c>
      <c r="E181" s="8" t="e">
        <f t="shared" si="24"/>
        <v>#N/A</v>
      </c>
      <c r="F181" s="8" t="e">
        <f t="shared" si="32"/>
        <v>#N/A</v>
      </c>
      <c r="G181" s="8" t="e">
        <f t="shared" si="25"/>
        <v>#N/A</v>
      </c>
      <c r="H181" s="8" t="e">
        <f t="shared" si="26"/>
        <v>#N/A</v>
      </c>
      <c r="I181" s="9" t="e">
        <f t="shared" si="27"/>
        <v>#N/A</v>
      </c>
      <c r="X181" s="3" t="e">
        <f t="shared" si="33"/>
        <v>#N/A</v>
      </c>
      <c r="Y181" s="4" t="e">
        <f t="shared" si="34"/>
        <v>#N/A</v>
      </c>
      <c r="Z181" s="4" t="e">
        <f t="shared" si="35"/>
        <v>#N/A</v>
      </c>
    </row>
    <row r="182" spans="1:26">
      <c r="A182" s="7" t="e">
        <f t="shared" si="28"/>
        <v>#N/A</v>
      </c>
      <c r="B182" s="8" t="e">
        <f t="shared" si="29"/>
        <v>#N/A</v>
      </c>
      <c r="C182" s="8" t="e">
        <f t="shared" si="30"/>
        <v>#N/A</v>
      </c>
      <c r="D182" s="8" t="e">
        <f t="shared" si="31"/>
        <v>#N/A</v>
      </c>
      <c r="E182" s="8" t="e">
        <f t="shared" si="24"/>
        <v>#N/A</v>
      </c>
      <c r="F182" s="8" t="e">
        <f t="shared" si="32"/>
        <v>#N/A</v>
      </c>
      <c r="G182" s="8" t="e">
        <f t="shared" si="25"/>
        <v>#N/A</v>
      </c>
      <c r="H182" s="8" t="e">
        <f t="shared" si="26"/>
        <v>#N/A</v>
      </c>
      <c r="I182" s="9" t="e">
        <f t="shared" si="27"/>
        <v>#N/A</v>
      </c>
      <c r="X182" s="3" t="e">
        <f t="shared" si="33"/>
        <v>#N/A</v>
      </c>
      <c r="Y182" s="4" t="e">
        <f t="shared" si="34"/>
        <v>#N/A</v>
      </c>
      <c r="Z182" s="4" t="e">
        <f t="shared" si="35"/>
        <v>#N/A</v>
      </c>
    </row>
    <row r="183" spans="1:26">
      <c r="A183" s="7" t="e">
        <f t="shared" si="28"/>
        <v>#N/A</v>
      </c>
      <c r="B183" s="8" t="e">
        <f t="shared" si="29"/>
        <v>#N/A</v>
      </c>
      <c r="C183" s="8" t="e">
        <f t="shared" si="30"/>
        <v>#N/A</v>
      </c>
      <c r="D183" s="8" t="e">
        <f t="shared" si="31"/>
        <v>#N/A</v>
      </c>
      <c r="E183" s="8" t="e">
        <f t="shared" si="24"/>
        <v>#N/A</v>
      </c>
      <c r="F183" s="8" t="e">
        <f t="shared" si="32"/>
        <v>#N/A</v>
      </c>
      <c r="G183" s="8" t="e">
        <f t="shared" si="25"/>
        <v>#N/A</v>
      </c>
      <c r="H183" s="8" t="e">
        <f t="shared" si="26"/>
        <v>#N/A</v>
      </c>
      <c r="I183" s="9" t="e">
        <f t="shared" si="27"/>
        <v>#N/A</v>
      </c>
      <c r="X183" s="3" t="e">
        <f t="shared" si="33"/>
        <v>#N/A</v>
      </c>
      <c r="Y183" s="4" t="e">
        <f t="shared" si="34"/>
        <v>#N/A</v>
      </c>
      <c r="Z183" s="4" t="e">
        <f t="shared" si="35"/>
        <v>#N/A</v>
      </c>
    </row>
    <row r="184" spans="1:26">
      <c r="A184" s="7" t="e">
        <f t="shared" si="28"/>
        <v>#N/A</v>
      </c>
      <c r="B184" s="8" t="e">
        <f t="shared" si="29"/>
        <v>#N/A</v>
      </c>
      <c r="C184" s="8" t="e">
        <f t="shared" si="30"/>
        <v>#N/A</v>
      </c>
      <c r="D184" s="8" t="e">
        <f t="shared" si="31"/>
        <v>#N/A</v>
      </c>
      <c r="E184" s="8" t="e">
        <f t="shared" si="24"/>
        <v>#N/A</v>
      </c>
      <c r="F184" s="8" t="e">
        <f t="shared" si="32"/>
        <v>#N/A</v>
      </c>
      <c r="G184" s="8" t="e">
        <f t="shared" si="25"/>
        <v>#N/A</v>
      </c>
      <c r="H184" s="8" t="e">
        <f t="shared" si="26"/>
        <v>#N/A</v>
      </c>
      <c r="I184" s="9" t="e">
        <f t="shared" si="27"/>
        <v>#N/A</v>
      </c>
      <c r="X184" s="3" t="e">
        <f t="shared" si="33"/>
        <v>#N/A</v>
      </c>
      <c r="Y184" s="4" t="e">
        <f t="shared" si="34"/>
        <v>#N/A</v>
      </c>
      <c r="Z184" s="4" t="e">
        <f t="shared" si="35"/>
        <v>#N/A</v>
      </c>
    </row>
    <row r="185" spans="1:26">
      <c r="A185" s="7" t="e">
        <f t="shared" si="28"/>
        <v>#N/A</v>
      </c>
      <c r="B185" s="8" t="e">
        <f t="shared" si="29"/>
        <v>#N/A</v>
      </c>
      <c r="C185" s="8" t="e">
        <f t="shared" si="30"/>
        <v>#N/A</v>
      </c>
      <c r="D185" s="8" t="e">
        <f t="shared" si="31"/>
        <v>#N/A</v>
      </c>
      <c r="E185" s="8" t="e">
        <f t="shared" si="24"/>
        <v>#N/A</v>
      </c>
      <c r="F185" s="8" t="e">
        <f t="shared" si="32"/>
        <v>#N/A</v>
      </c>
      <c r="G185" s="8" t="e">
        <f t="shared" si="25"/>
        <v>#N/A</v>
      </c>
      <c r="H185" s="8" t="e">
        <f t="shared" si="26"/>
        <v>#N/A</v>
      </c>
      <c r="I185" s="9" t="e">
        <f t="shared" si="27"/>
        <v>#N/A</v>
      </c>
      <c r="X185" s="3" t="e">
        <f t="shared" si="33"/>
        <v>#N/A</v>
      </c>
      <c r="Y185" s="4" t="e">
        <f t="shared" si="34"/>
        <v>#N/A</v>
      </c>
      <c r="Z185" s="4" t="e">
        <f t="shared" si="35"/>
        <v>#N/A</v>
      </c>
    </row>
    <row r="186" spans="1:26">
      <c r="A186" s="7" t="e">
        <f t="shared" si="28"/>
        <v>#N/A</v>
      </c>
      <c r="B186" s="8" t="e">
        <f t="shared" si="29"/>
        <v>#N/A</v>
      </c>
      <c r="C186" s="8" t="e">
        <f t="shared" si="30"/>
        <v>#N/A</v>
      </c>
      <c r="D186" s="8" t="e">
        <f t="shared" si="31"/>
        <v>#N/A</v>
      </c>
      <c r="E186" s="8" t="e">
        <f t="shared" si="24"/>
        <v>#N/A</v>
      </c>
      <c r="F186" s="8" t="e">
        <f t="shared" si="32"/>
        <v>#N/A</v>
      </c>
      <c r="G186" s="8" t="e">
        <f t="shared" si="25"/>
        <v>#N/A</v>
      </c>
      <c r="H186" s="8" t="e">
        <f t="shared" si="26"/>
        <v>#N/A</v>
      </c>
      <c r="I186" s="9" t="e">
        <f t="shared" si="27"/>
        <v>#N/A</v>
      </c>
      <c r="X186" s="3" t="e">
        <f t="shared" si="33"/>
        <v>#N/A</v>
      </c>
      <c r="Y186" s="4" t="e">
        <f t="shared" si="34"/>
        <v>#N/A</v>
      </c>
      <c r="Z186" s="4" t="e">
        <f t="shared" si="35"/>
        <v>#N/A</v>
      </c>
    </row>
    <row r="187" spans="1:26">
      <c r="A187" s="7" t="e">
        <f t="shared" si="28"/>
        <v>#N/A</v>
      </c>
      <c r="B187" s="8" t="e">
        <f t="shared" si="29"/>
        <v>#N/A</v>
      </c>
      <c r="C187" s="8" t="e">
        <f t="shared" si="30"/>
        <v>#N/A</v>
      </c>
      <c r="D187" s="8" t="e">
        <f t="shared" si="31"/>
        <v>#N/A</v>
      </c>
      <c r="E187" s="8" t="e">
        <f t="shared" si="24"/>
        <v>#N/A</v>
      </c>
      <c r="F187" s="8" t="e">
        <f t="shared" si="32"/>
        <v>#N/A</v>
      </c>
      <c r="G187" s="8" t="e">
        <f t="shared" si="25"/>
        <v>#N/A</v>
      </c>
      <c r="H187" s="8" t="e">
        <f t="shared" si="26"/>
        <v>#N/A</v>
      </c>
      <c r="I187" s="9" t="e">
        <f t="shared" si="27"/>
        <v>#N/A</v>
      </c>
      <c r="X187" s="3" t="e">
        <f t="shared" si="33"/>
        <v>#N/A</v>
      </c>
      <c r="Y187" s="4" t="e">
        <f t="shared" si="34"/>
        <v>#N/A</v>
      </c>
      <c r="Z187" s="4" t="e">
        <f t="shared" si="35"/>
        <v>#N/A</v>
      </c>
    </row>
    <row r="188" spans="1:26">
      <c r="A188" s="7" t="e">
        <f t="shared" si="28"/>
        <v>#N/A</v>
      </c>
      <c r="B188" s="8" t="e">
        <f t="shared" si="29"/>
        <v>#N/A</v>
      </c>
      <c r="C188" s="8" t="e">
        <f t="shared" si="30"/>
        <v>#N/A</v>
      </c>
      <c r="D188" s="8" t="e">
        <f t="shared" si="31"/>
        <v>#N/A</v>
      </c>
      <c r="E188" s="8" t="e">
        <f t="shared" si="24"/>
        <v>#N/A</v>
      </c>
      <c r="F188" s="8" t="e">
        <f t="shared" si="32"/>
        <v>#N/A</v>
      </c>
      <c r="G188" s="8" t="e">
        <f t="shared" si="25"/>
        <v>#N/A</v>
      </c>
      <c r="H188" s="8" t="e">
        <f t="shared" si="26"/>
        <v>#N/A</v>
      </c>
      <c r="I188" s="9" t="e">
        <f t="shared" si="27"/>
        <v>#N/A</v>
      </c>
      <c r="X188" s="3" t="e">
        <f t="shared" si="33"/>
        <v>#N/A</v>
      </c>
      <c r="Y188" s="4" t="e">
        <f t="shared" si="34"/>
        <v>#N/A</v>
      </c>
      <c r="Z188" s="4" t="e">
        <f t="shared" si="35"/>
        <v>#N/A</v>
      </c>
    </row>
    <row r="189" spans="1:26">
      <c r="A189" s="7" t="e">
        <f t="shared" si="28"/>
        <v>#N/A</v>
      </c>
      <c r="B189" s="8" t="e">
        <f t="shared" si="29"/>
        <v>#N/A</v>
      </c>
      <c r="C189" s="8" t="e">
        <f t="shared" si="30"/>
        <v>#N/A</v>
      </c>
      <c r="D189" s="8" t="e">
        <f t="shared" si="31"/>
        <v>#N/A</v>
      </c>
      <c r="E189" s="8" t="e">
        <f t="shared" si="24"/>
        <v>#N/A</v>
      </c>
      <c r="F189" s="8" t="e">
        <f t="shared" si="32"/>
        <v>#N/A</v>
      </c>
      <c r="G189" s="8" t="e">
        <f t="shared" si="25"/>
        <v>#N/A</v>
      </c>
      <c r="H189" s="8" t="e">
        <f t="shared" si="26"/>
        <v>#N/A</v>
      </c>
      <c r="I189" s="9" t="e">
        <f t="shared" si="27"/>
        <v>#N/A</v>
      </c>
      <c r="X189" s="3" t="e">
        <f t="shared" si="33"/>
        <v>#N/A</v>
      </c>
      <c r="Y189" s="4" t="e">
        <f t="shared" si="34"/>
        <v>#N/A</v>
      </c>
      <c r="Z189" s="4" t="e">
        <f t="shared" si="35"/>
        <v>#N/A</v>
      </c>
    </row>
    <row r="190" spans="1:26">
      <c r="A190" s="7" t="e">
        <f t="shared" si="28"/>
        <v>#N/A</v>
      </c>
      <c r="B190" s="8" t="e">
        <f t="shared" si="29"/>
        <v>#N/A</v>
      </c>
      <c r="C190" s="8" t="e">
        <f t="shared" si="30"/>
        <v>#N/A</v>
      </c>
      <c r="D190" s="8" t="e">
        <f t="shared" si="31"/>
        <v>#N/A</v>
      </c>
      <c r="E190" s="8" t="e">
        <f t="shared" si="24"/>
        <v>#N/A</v>
      </c>
      <c r="F190" s="8" t="e">
        <f t="shared" si="32"/>
        <v>#N/A</v>
      </c>
      <c r="G190" s="8" t="e">
        <f t="shared" si="25"/>
        <v>#N/A</v>
      </c>
      <c r="H190" s="8" t="e">
        <f t="shared" si="26"/>
        <v>#N/A</v>
      </c>
      <c r="I190" s="9" t="e">
        <f t="shared" si="27"/>
        <v>#N/A</v>
      </c>
      <c r="X190" s="3" t="e">
        <f t="shared" si="33"/>
        <v>#N/A</v>
      </c>
      <c r="Y190" s="4" t="e">
        <f t="shared" si="34"/>
        <v>#N/A</v>
      </c>
      <c r="Z190" s="4" t="e">
        <f t="shared" si="35"/>
        <v>#N/A</v>
      </c>
    </row>
    <row r="191" spans="1:26">
      <c r="A191" s="7" t="e">
        <f t="shared" si="28"/>
        <v>#N/A</v>
      </c>
      <c r="B191" s="8" t="e">
        <f t="shared" si="29"/>
        <v>#N/A</v>
      </c>
      <c r="C191" s="8" t="e">
        <f t="shared" si="30"/>
        <v>#N/A</v>
      </c>
      <c r="D191" s="8" t="e">
        <f t="shared" si="31"/>
        <v>#N/A</v>
      </c>
      <c r="E191" s="8" t="e">
        <f t="shared" si="24"/>
        <v>#N/A</v>
      </c>
      <c r="F191" s="8" t="e">
        <f t="shared" si="32"/>
        <v>#N/A</v>
      </c>
      <c r="G191" s="8" t="e">
        <f t="shared" si="25"/>
        <v>#N/A</v>
      </c>
      <c r="H191" s="8" t="e">
        <f t="shared" si="26"/>
        <v>#N/A</v>
      </c>
      <c r="I191" s="9" t="e">
        <f t="shared" si="27"/>
        <v>#N/A</v>
      </c>
      <c r="X191" s="3" t="e">
        <f t="shared" si="33"/>
        <v>#N/A</v>
      </c>
      <c r="Y191" s="4" t="e">
        <f t="shared" si="34"/>
        <v>#N/A</v>
      </c>
      <c r="Z191" s="4" t="e">
        <f t="shared" si="35"/>
        <v>#N/A</v>
      </c>
    </row>
    <row r="192" spans="1:26">
      <c r="A192" s="7" t="e">
        <f t="shared" si="28"/>
        <v>#N/A</v>
      </c>
      <c r="B192" s="8" t="e">
        <f t="shared" si="29"/>
        <v>#N/A</v>
      </c>
      <c r="C192" s="8" t="e">
        <f t="shared" si="30"/>
        <v>#N/A</v>
      </c>
      <c r="D192" s="8" t="e">
        <f t="shared" si="31"/>
        <v>#N/A</v>
      </c>
      <c r="E192" s="8" t="e">
        <f t="shared" si="24"/>
        <v>#N/A</v>
      </c>
      <c r="F192" s="8" t="e">
        <f t="shared" si="32"/>
        <v>#N/A</v>
      </c>
      <c r="G192" s="8" t="e">
        <f t="shared" si="25"/>
        <v>#N/A</v>
      </c>
      <c r="H192" s="8" t="e">
        <f t="shared" si="26"/>
        <v>#N/A</v>
      </c>
      <c r="I192" s="9" t="e">
        <f t="shared" si="27"/>
        <v>#N/A</v>
      </c>
      <c r="X192" s="3" t="e">
        <f t="shared" si="33"/>
        <v>#N/A</v>
      </c>
      <c r="Y192" s="4" t="e">
        <f t="shared" si="34"/>
        <v>#N/A</v>
      </c>
      <c r="Z192" s="4" t="e">
        <f t="shared" si="35"/>
        <v>#N/A</v>
      </c>
    </row>
    <row r="193" spans="1:26">
      <c r="A193" s="7" t="e">
        <f t="shared" si="28"/>
        <v>#N/A</v>
      </c>
      <c r="B193" s="8" t="e">
        <f t="shared" si="29"/>
        <v>#N/A</v>
      </c>
      <c r="C193" s="8" t="e">
        <f t="shared" si="30"/>
        <v>#N/A</v>
      </c>
      <c r="D193" s="8" t="e">
        <f t="shared" si="31"/>
        <v>#N/A</v>
      </c>
      <c r="E193" s="8" t="e">
        <f t="shared" si="24"/>
        <v>#N/A</v>
      </c>
      <c r="F193" s="8" t="e">
        <f t="shared" si="32"/>
        <v>#N/A</v>
      </c>
      <c r="G193" s="8" t="e">
        <f t="shared" si="25"/>
        <v>#N/A</v>
      </c>
      <c r="H193" s="8" t="e">
        <f t="shared" si="26"/>
        <v>#N/A</v>
      </c>
      <c r="I193" s="9" t="e">
        <f t="shared" si="27"/>
        <v>#N/A</v>
      </c>
      <c r="X193" s="3" t="e">
        <f t="shared" si="33"/>
        <v>#N/A</v>
      </c>
      <c r="Y193" s="4" t="e">
        <f t="shared" si="34"/>
        <v>#N/A</v>
      </c>
      <c r="Z193" s="4" t="e">
        <f t="shared" si="35"/>
        <v>#N/A</v>
      </c>
    </row>
    <row r="194" spans="1:26">
      <c r="A194" s="7" t="e">
        <f t="shared" si="28"/>
        <v>#N/A</v>
      </c>
      <c r="B194" s="8" t="e">
        <f t="shared" si="29"/>
        <v>#N/A</v>
      </c>
      <c r="C194" s="8" t="e">
        <f t="shared" si="30"/>
        <v>#N/A</v>
      </c>
      <c r="D194" s="8" t="e">
        <f t="shared" si="31"/>
        <v>#N/A</v>
      </c>
      <c r="E194" s="8" t="e">
        <f t="shared" si="24"/>
        <v>#N/A</v>
      </c>
      <c r="F194" s="8" t="e">
        <f t="shared" si="32"/>
        <v>#N/A</v>
      </c>
      <c r="G194" s="8" t="e">
        <f t="shared" si="25"/>
        <v>#N/A</v>
      </c>
      <c r="H194" s="8" t="e">
        <f t="shared" si="26"/>
        <v>#N/A</v>
      </c>
      <c r="I194" s="9" t="e">
        <f t="shared" si="27"/>
        <v>#N/A</v>
      </c>
      <c r="X194" s="3" t="e">
        <f t="shared" si="33"/>
        <v>#N/A</v>
      </c>
      <c r="Y194" s="4" t="e">
        <f t="shared" si="34"/>
        <v>#N/A</v>
      </c>
      <c r="Z194" s="4" t="e">
        <f t="shared" si="35"/>
        <v>#N/A</v>
      </c>
    </row>
    <row r="195" spans="1:26">
      <c r="A195" s="7" t="e">
        <f t="shared" si="28"/>
        <v>#N/A</v>
      </c>
      <c r="B195" s="8" t="e">
        <f t="shared" si="29"/>
        <v>#N/A</v>
      </c>
      <c r="C195" s="8" t="e">
        <f t="shared" si="30"/>
        <v>#N/A</v>
      </c>
      <c r="D195" s="8" t="e">
        <f t="shared" si="31"/>
        <v>#N/A</v>
      </c>
      <c r="E195" s="8" t="e">
        <f t="shared" si="24"/>
        <v>#N/A</v>
      </c>
      <c r="F195" s="8" t="e">
        <f t="shared" si="32"/>
        <v>#N/A</v>
      </c>
      <c r="G195" s="8" t="e">
        <f t="shared" si="25"/>
        <v>#N/A</v>
      </c>
      <c r="H195" s="8" t="e">
        <f t="shared" si="26"/>
        <v>#N/A</v>
      </c>
      <c r="I195" s="9" t="e">
        <f t="shared" si="27"/>
        <v>#N/A</v>
      </c>
      <c r="X195" s="3" t="e">
        <f t="shared" si="33"/>
        <v>#N/A</v>
      </c>
      <c r="Y195" s="4" t="e">
        <f t="shared" si="34"/>
        <v>#N/A</v>
      </c>
      <c r="Z195" s="4" t="e">
        <f t="shared" si="35"/>
        <v>#N/A</v>
      </c>
    </row>
    <row r="196" spans="1:26">
      <c r="A196" s="7" t="e">
        <f t="shared" si="28"/>
        <v>#N/A</v>
      </c>
      <c r="B196" s="8" t="e">
        <f t="shared" si="29"/>
        <v>#N/A</v>
      </c>
      <c r="C196" s="8" t="e">
        <f t="shared" si="30"/>
        <v>#N/A</v>
      </c>
      <c r="D196" s="8" t="e">
        <f t="shared" si="31"/>
        <v>#N/A</v>
      </c>
      <c r="E196" s="8" t="e">
        <f t="shared" si="24"/>
        <v>#N/A</v>
      </c>
      <c r="F196" s="8" t="e">
        <f t="shared" si="32"/>
        <v>#N/A</v>
      </c>
      <c r="G196" s="8" t="e">
        <f t="shared" si="25"/>
        <v>#N/A</v>
      </c>
      <c r="H196" s="8" t="e">
        <f t="shared" si="26"/>
        <v>#N/A</v>
      </c>
      <c r="I196" s="9" t="e">
        <f t="shared" si="27"/>
        <v>#N/A</v>
      </c>
      <c r="X196" s="3" t="e">
        <f t="shared" si="33"/>
        <v>#N/A</v>
      </c>
      <c r="Y196" s="4" t="e">
        <f t="shared" si="34"/>
        <v>#N/A</v>
      </c>
      <c r="Z196" s="4" t="e">
        <f t="shared" si="35"/>
        <v>#N/A</v>
      </c>
    </row>
    <row r="197" spans="1:26">
      <c r="A197" s="7" t="e">
        <f t="shared" si="28"/>
        <v>#N/A</v>
      </c>
      <c r="B197" s="8" t="e">
        <f t="shared" si="29"/>
        <v>#N/A</v>
      </c>
      <c r="C197" s="8" t="e">
        <f t="shared" si="30"/>
        <v>#N/A</v>
      </c>
      <c r="D197" s="8" t="e">
        <f t="shared" si="31"/>
        <v>#N/A</v>
      </c>
      <c r="E197" s="8" t="e">
        <f t="shared" si="24"/>
        <v>#N/A</v>
      </c>
      <c r="F197" s="8" t="e">
        <f t="shared" si="32"/>
        <v>#N/A</v>
      </c>
      <c r="G197" s="8" t="e">
        <f t="shared" si="25"/>
        <v>#N/A</v>
      </c>
      <c r="H197" s="8" t="e">
        <f t="shared" si="26"/>
        <v>#N/A</v>
      </c>
      <c r="I197" s="9" t="e">
        <f t="shared" si="27"/>
        <v>#N/A</v>
      </c>
      <c r="X197" s="3" t="e">
        <f t="shared" si="33"/>
        <v>#N/A</v>
      </c>
      <c r="Y197" s="4" t="e">
        <f t="shared" si="34"/>
        <v>#N/A</v>
      </c>
      <c r="Z197" s="4" t="e">
        <f t="shared" si="35"/>
        <v>#N/A</v>
      </c>
    </row>
    <row r="198" spans="1:26">
      <c r="A198" s="7" t="e">
        <f t="shared" si="28"/>
        <v>#N/A</v>
      </c>
      <c r="B198" s="8" t="e">
        <f t="shared" si="29"/>
        <v>#N/A</v>
      </c>
      <c r="C198" s="8" t="e">
        <f t="shared" si="30"/>
        <v>#N/A</v>
      </c>
      <c r="D198" s="8" t="e">
        <f t="shared" si="31"/>
        <v>#N/A</v>
      </c>
      <c r="E198" s="8" t="e">
        <f t="shared" si="24"/>
        <v>#N/A</v>
      </c>
      <c r="F198" s="8" t="e">
        <f t="shared" si="32"/>
        <v>#N/A</v>
      </c>
      <c r="G198" s="8" t="e">
        <f t="shared" si="25"/>
        <v>#N/A</v>
      </c>
      <c r="H198" s="8" t="e">
        <f t="shared" si="26"/>
        <v>#N/A</v>
      </c>
      <c r="I198" s="9" t="e">
        <f t="shared" si="27"/>
        <v>#N/A</v>
      </c>
      <c r="X198" s="3" t="e">
        <f t="shared" si="33"/>
        <v>#N/A</v>
      </c>
      <c r="Y198" s="4" t="e">
        <f t="shared" si="34"/>
        <v>#N/A</v>
      </c>
      <c r="Z198" s="4" t="e">
        <f t="shared" si="35"/>
        <v>#N/A</v>
      </c>
    </row>
    <row r="199" spans="1:26">
      <c r="A199" s="7" t="e">
        <f t="shared" si="28"/>
        <v>#N/A</v>
      </c>
      <c r="B199" s="8" t="e">
        <f t="shared" si="29"/>
        <v>#N/A</v>
      </c>
      <c r="C199" s="8" t="e">
        <f t="shared" si="30"/>
        <v>#N/A</v>
      </c>
      <c r="D199" s="8" t="e">
        <f t="shared" si="31"/>
        <v>#N/A</v>
      </c>
      <c r="E199" s="8" t="e">
        <f t="shared" si="24"/>
        <v>#N/A</v>
      </c>
      <c r="F199" s="8" t="e">
        <f t="shared" si="32"/>
        <v>#N/A</v>
      </c>
      <c r="G199" s="8" t="e">
        <f t="shared" si="25"/>
        <v>#N/A</v>
      </c>
      <c r="H199" s="8" t="e">
        <f t="shared" si="26"/>
        <v>#N/A</v>
      </c>
      <c r="I199" s="9" t="e">
        <f t="shared" si="27"/>
        <v>#N/A</v>
      </c>
      <c r="X199" s="3" t="e">
        <f t="shared" si="33"/>
        <v>#N/A</v>
      </c>
      <c r="Y199" s="4" t="e">
        <f t="shared" si="34"/>
        <v>#N/A</v>
      </c>
      <c r="Z199" s="4" t="e">
        <f t="shared" si="35"/>
        <v>#N/A</v>
      </c>
    </row>
    <row r="200" spans="1:26">
      <c r="A200" s="7" t="e">
        <f t="shared" si="28"/>
        <v>#N/A</v>
      </c>
      <c r="B200" s="8" t="e">
        <f t="shared" si="29"/>
        <v>#N/A</v>
      </c>
      <c r="C200" s="8" t="e">
        <f t="shared" si="30"/>
        <v>#N/A</v>
      </c>
      <c r="D200" s="8" t="e">
        <f t="shared" si="31"/>
        <v>#N/A</v>
      </c>
      <c r="E200" s="8" t="e">
        <f t="shared" si="24"/>
        <v>#N/A</v>
      </c>
      <c r="F200" s="8" t="e">
        <f t="shared" si="32"/>
        <v>#N/A</v>
      </c>
      <c r="G200" s="8" t="e">
        <f t="shared" si="25"/>
        <v>#N/A</v>
      </c>
      <c r="H200" s="8" t="e">
        <f t="shared" si="26"/>
        <v>#N/A</v>
      </c>
      <c r="I200" s="9" t="e">
        <f t="shared" si="27"/>
        <v>#N/A</v>
      </c>
      <c r="X200" s="3" t="e">
        <f t="shared" si="33"/>
        <v>#N/A</v>
      </c>
      <c r="Y200" s="4" t="e">
        <f t="shared" si="34"/>
        <v>#N/A</v>
      </c>
      <c r="Z200" s="4" t="e">
        <f t="shared" si="35"/>
        <v>#N/A</v>
      </c>
    </row>
    <row r="201" spans="1:26">
      <c r="A201" s="7" t="e">
        <f t="shared" si="28"/>
        <v>#N/A</v>
      </c>
      <c r="B201" s="8" t="e">
        <f t="shared" si="29"/>
        <v>#N/A</v>
      </c>
      <c r="C201" s="8" t="e">
        <f t="shared" si="30"/>
        <v>#N/A</v>
      </c>
      <c r="D201" s="8" t="e">
        <f t="shared" si="31"/>
        <v>#N/A</v>
      </c>
      <c r="E201" s="8" t="e">
        <f t="shared" si="24"/>
        <v>#N/A</v>
      </c>
      <c r="F201" s="8" t="e">
        <f t="shared" si="32"/>
        <v>#N/A</v>
      </c>
      <c r="G201" s="8" t="e">
        <f t="shared" si="25"/>
        <v>#N/A</v>
      </c>
      <c r="H201" s="8" t="e">
        <f t="shared" si="26"/>
        <v>#N/A</v>
      </c>
      <c r="I201" s="9" t="e">
        <f t="shared" si="27"/>
        <v>#N/A</v>
      </c>
      <c r="X201" s="3" t="e">
        <f t="shared" si="33"/>
        <v>#N/A</v>
      </c>
      <c r="Y201" s="4" t="e">
        <f t="shared" si="34"/>
        <v>#N/A</v>
      </c>
      <c r="Z201" s="4" t="e">
        <f t="shared" si="35"/>
        <v>#N/A</v>
      </c>
    </row>
    <row r="202" spans="1:26">
      <c r="A202" s="7" t="e">
        <f t="shared" si="28"/>
        <v>#N/A</v>
      </c>
      <c r="B202" s="8" t="e">
        <f t="shared" si="29"/>
        <v>#N/A</v>
      </c>
      <c r="C202" s="8" t="e">
        <f t="shared" si="30"/>
        <v>#N/A</v>
      </c>
      <c r="D202" s="8" t="e">
        <f t="shared" si="31"/>
        <v>#N/A</v>
      </c>
      <c r="E202" s="8" t="e">
        <f t="shared" si="24"/>
        <v>#N/A</v>
      </c>
      <c r="F202" s="8" t="e">
        <f t="shared" si="32"/>
        <v>#N/A</v>
      </c>
      <c r="G202" s="8" t="e">
        <f t="shared" si="25"/>
        <v>#N/A</v>
      </c>
      <c r="H202" s="8" t="e">
        <f t="shared" si="26"/>
        <v>#N/A</v>
      </c>
      <c r="I202" s="9" t="e">
        <f t="shared" si="27"/>
        <v>#N/A</v>
      </c>
      <c r="X202" s="3" t="e">
        <f t="shared" si="33"/>
        <v>#N/A</v>
      </c>
      <c r="Y202" s="4" t="e">
        <f t="shared" si="34"/>
        <v>#N/A</v>
      </c>
      <c r="Z202" s="4" t="e">
        <f t="shared" si="35"/>
        <v>#N/A</v>
      </c>
    </row>
    <row r="203" spans="1:26">
      <c r="A203" s="7" t="e">
        <f t="shared" si="28"/>
        <v>#N/A</v>
      </c>
      <c r="B203" s="8" t="e">
        <f t="shared" si="29"/>
        <v>#N/A</v>
      </c>
      <c r="C203" s="8" t="e">
        <f t="shared" si="30"/>
        <v>#N/A</v>
      </c>
      <c r="D203" s="8" t="e">
        <f t="shared" si="31"/>
        <v>#N/A</v>
      </c>
      <c r="E203" s="8" t="e">
        <f t="shared" si="24"/>
        <v>#N/A</v>
      </c>
      <c r="F203" s="8" t="e">
        <f t="shared" si="32"/>
        <v>#N/A</v>
      </c>
      <c r="G203" s="8" t="e">
        <f t="shared" si="25"/>
        <v>#N/A</v>
      </c>
      <c r="H203" s="8" t="e">
        <f t="shared" si="26"/>
        <v>#N/A</v>
      </c>
      <c r="I203" s="9" t="e">
        <f t="shared" si="27"/>
        <v>#N/A</v>
      </c>
      <c r="X203" s="3" t="e">
        <f t="shared" si="33"/>
        <v>#N/A</v>
      </c>
      <c r="Y203" s="4" t="e">
        <f t="shared" si="34"/>
        <v>#N/A</v>
      </c>
      <c r="Z203" s="4" t="e">
        <f t="shared" si="35"/>
        <v>#N/A</v>
      </c>
    </row>
    <row r="204" spans="1:26">
      <c r="A204" s="7" t="e">
        <f t="shared" si="28"/>
        <v>#N/A</v>
      </c>
      <c r="B204" s="8" t="e">
        <f t="shared" si="29"/>
        <v>#N/A</v>
      </c>
      <c r="C204" s="8" t="e">
        <f t="shared" si="30"/>
        <v>#N/A</v>
      </c>
      <c r="D204" s="8" t="e">
        <f t="shared" si="31"/>
        <v>#N/A</v>
      </c>
      <c r="E204" s="8" t="e">
        <f t="shared" si="24"/>
        <v>#N/A</v>
      </c>
      <c r="F204" s="8" t="e">
        <f t="shared" si="32"/>
        <v>#N/A</v>
      </c>
      <c r="G204" s="8" t="e">
        <f t="shared" si="25"/>
        <v>#N/A</v>
      </c>
      <c r="H204" s="8" t="e">
        <f t="shared" si="26"/>
        <v>#N/A</v>
      </c>
      <c r="I204" s="9" t="e">
        <f t="shared" si="27"/>
        <v>#N/A</v>
      </c>
      <c r="X204" s="3" t="e">
        <f t="shared" si="33"/>
        <v>#N/A</v>
      </c>
      <c r="Y204" s="4" t="e">
        <f t="shared" si="34"/>
        <v>#N/A</v>
      </c>
      <c r="Z204" s="4" t="e">
        <f t="shared" si="35"/>
        <v>#N/A</v>
      </c>
    </row>
    <row r="205" spans="1:26">
      <c r="A205" s="7" t="e">
        <f t="shared" si="28"/>
        <v>#N/A</v>
      </c>
      <c r="B205" s="8" t="e">
        <f t="shared" si="29"/>
        <v>#N/A</v>
      </c>
      <c r="C205" s="8" t="e">
        <f t="shared" si="30"/>
        <v>#N/A</v>
      </c>
      <c r="D205" s="8" t="e">
        <f t="shared" si="31"/>
        <v>#N/A</v>
      </c>
      <c r="E205" s="8" t="e">
        <f t="shared" ref="E205:E252" si="36">IF(ISNUMBER($A205),$B$8*$B$5,NA())</f>
        <v>#N/A</v>
      </c>
      <c r="F205" s="8" t="e">
        <f t="shared" si="32"/>
        <v>#N/A</v>
      </c>
      <c r="G205" s="8" t="e">
        <f t="shared" ref="G205:G252" si="37">IF(ISNUMBER($A205),MAX(0,D205-F205),NA())</f>
        <v>#N/A</v>
      </c>
      <c r="H205" s="8" t="e">
        <f t="shared" ref="H205:H252" si="38">IF(ISNUMBER($A205),F205-D205,NA())</f>
        <v>#N/A</v>
      </c>
      <c r="I205" s="9" t="e">
        <f t="shared" ref="I205:I252" si="39">IF(ISNUMBER($A205),IF(G205&gt;0,"Deposit / sell","OK"),NA())</f>
        <v>#N/A</v>
      </c>
      <c r="X205" s="3" t="e">
        <f t="shared" si="33"/>
        <v>#N/A</v>
      </c>
      <c r="Y205" s="4" t="e">
        <f t="shared" si="34"/>
        <v>#N/A</v>
      </c>
      <c r="Z205" s="4" t="e">
        <f t="shared" si="35"/>
        <v>#N/A</v>
      </c>
    </row>
    <row r="206" spans="1:26">
      <c r="A206" s="7" t="e">
        <f t="shared" ref="A206:A252" si="40">IF(ROW()-12&lt;=$B$9,ROW()-13,NA())</f>
        <v>#N/A</v>
      </c>
      <c r="B206" s="8" t="e">
        <f t="shared" ref="B206:B252" si="41">IF(ISNUMBER($A206),D205,NA())</f>
        <v>#N/A</v>
      </c>
      <c r="C206" s="8" t="e">
        <f t="shared" ref="C206:C252" si="42">IF(ISNUMBER($A206),B206*($B$7/12),NA())</f>
        <v>#N/A</v>
      </c>
      <c r="D206" s="8" t="e">
        <f t="shared" ref="D206:D253" si="43">IF(ISNUMBER($A206),B206+C206,NA())</f>
        <v>#N/A</v>
      </c>
      <c r="E206" s="8" t="e">
        <f t="shared" si="36"/>
        <v>#N/A</v>
      </c>
      <c r="F206" s="8" t="e">
        <f t="shared" ref="F206:F252" si="44">IF(ISNUMBER($A206),MIN($B$6,E206),NA())</f>
        <v>#N/A</v>
      </c>
      <c r="G206" s="8" t="e">
        <f t="shared" si="37"/>
        <v>#N/A</v>
      </c>
      <c r="H206" s="8" t="e">
        <f t="shared" si="38"/>
        <v>#N/A</v>
      </c>
      <c r="I206" s="9" t="e">
        <f t="shared" si="39"/>
        <v>#N/A</v>
      </c>
      <c r="X206" s="3" t="e">
        <f t="shared" ref="X206:X269" si="45">IF(ISNUMBER($A206),$A206,NA())</f>
        <v>#N/A</v>
      </c>
      <c r="Y206" s="4" t="e">
        <f t="shared" ref="Y206:Y269" si="46">IF(ISNUMBER($A206),$D206,NA())</f>
        <v>#N/A</v>
      </c>
      <c r="Z206" s="4" t="e">
        <f t="shared" ref="Z206:Z269" si="47">IF(ISNUMBER($A206),$F206,NA())</f>
        <v>#N/A</v>
      </c>
    </row>
    <row r="207" spans="1:26">
      <c r="A207" s="7" t="e">
        <f t="shared" si="40"/>
        <v>#N/A</v>
      </c>
      <c r="B207" s="8" t="e">
        <f t="shared" si="41"/>
        <v>#N/A</v>
      </c>
      <c r="C207" s="8" t="e">
        <f t="shared" si="42"/>
        <v>#N/A</v>
      </c>
      <c r="D207" s="8" t="e">
        <f t="shared" si="43"/>
        <v>#N/A</v>
      </c>
      <c r="E207" s="8" t="e">
        <f t="shared" si="36"/>
        <v>#N/A</v>
      </c>
      <c r="F207" s="8" t="e">
        <f t="shared" si="44"/>
        <v>#N/A</v>
      </c>
      <c r="G207" s="8" t="e">
        <f t="shared" si="37"/>
        <v>#N/A</v>
      </c>
      <c r="H207" s="8" t="e">
        <f t="shared" si="38"/>
        <v>#N/A</v>
      </c>
      <c r="I207" s="9" t="e">
        <f t="shared" si="39"/>
        <v>#N/A</v>
      </c>
      <c r="X207" s="3" t="e">
        <f t="shared" si="45"/>
        <v>#N/A</v>
      </c>
      <c r="Y207" s="4" t="e">
        <f t="shared" si="46"/>
        <v>#N/A</v>
      </c>
      <c r="Z207" s="4" t="e">
        <f t="shared" si="47"/>
        <v>#N/A</v>
      </c>
    </row>
    <row r="208" spans="1:26">
      <c r="A208" s="7" t="e">
        <f t="shared" si="40"/>
        <v>#N/A</v>
      </c>
      <c r="B208" s="8" t="e">
        <f t="shared" si="41"/>
        <v>#N/A</v>
      </c>
      <c r="C208" s="8" t="e">
        <f t="shared" si="42"/>
        <v>#N/A</v>
      </c>
      <c r="D208" s="8" t="e">
        <f t="shared" si="43"/>
        <v>#N/A</v>
      </c>
      <c r="E208" s="8" t="e">
        <f t="shared" si="36"/>
        <v>#N/A</v>
      </c>
      <c r="F208" s="8" t="e">
        <f t="shared" si="44"/>
        <v>#N/A</v>
      </c>
      <c r="G208" s="8" t="e">
        <f t="shared" si="37"/>
        <v>#N/A</v>
      </c>
      <c r="H208" s="8" t="e">
        <f t="shared" si="38"/>
        <v>#N/A</v>
      </c>
      <c r="I208" s="9" t="e">
        <f t="shared" si="39"/>
        <v>#N/A</v>
      </c>
      <c r="X208" s="3" t="e">
        <f t="shared" si="45"/>
        <v>#N/A</v>
      </c>
      <c r="Y208" s="4" t="e">
        <f t="shared" si="46"/>
        <v>#N/A</v>
      </c>
      <c r="Z208" s="4" t="e">
        <f t="shared" si="47"/>
        <v>#N/A</v>
      </c>
    </row>
    <row r="209" spans="1:26">
      <c r="A209" s="7" t="e">
        <f t="shared" si="40"/>
        <v>#N/A</v>
      </c>
      <c r="B209" s="8" t="e">
        <f t="shared" si="41"/>
        <v>#N/A</v>
      </c>
      <c r="C209" s="8" t="e">
        <f t="shared" si="42"/>
        <v>#N/A</v>
      </c>
      <c r="D209" s="8" t="e">
        <f t="shared" si="43"/>
        <v>#N/A</v>
      </c>
      <c r="E209" s="8" t="e">
        <f t="shared" si="36"/>
        <v>#N/A</v>
      </c>
      <c r="F209" s="8" t="e">
        <f t="shared" si="44"/>
        <v>#N/A</v>
      </c>
      <c r="G209" s="8" t="e">
        <f t="shared" si="37"/>
        <v>#N/A</v>
      </c>
      <c r="H209" s="8" t="e">
        <f t="shared" si="38"/>
        <v>#N/A</v>
      </c>
      <c r="I209" s="9" t="e">
        <f t="shared" si="39"/>
        <v>#N/A</v>
      </c>
      <c r="X209" s="3" t="e">
        <f t="shared" si="45"/>
        <v>#N/A</v>
      </c>
      <c r="Y209" s="4" t="e">
        <f t="shared" si="46"/>
        <v>#N/A</v>
      </c>
      <c r="Z209" s="4" t="e">
        <f t="shared" si="47"/>
        <v>#N/A</v>
      </c>
    </row>
    <row r="210" spans="1:26">
      <c r="A210" s="7" t="e">
        <f t="shared" si="40"/>
        <v>#N/A</v>
      </c>
      <c r="B210" s="8" t="e">
        <f t="shared" si="41"/>
        <v>#N/A</v>
      </c>
      <c r="C210" s="8" t="e">
        <f t="shared" si="42"/>
        <v>#N/A</v>
      </c>
      <c r="D210" s="8" t="e">
        <f t="shared" si="43"/>
        <v>#N/A</v>
      </c>
      <c r="E210" s="8" t="e">
        <f t="shared" si="36"/>
        <v>#N/A</v>
      </c>
      <c r="F210" s="8" t="e">
        <f t="shared" si="44"/>
        <v>#N/A</v>
      </c>
      <c r="G210" s="8" t="e">
        <f t="shared" si="37"/>
        <v>#N/A</v>
      </c>
      <c r="H210" s="8" t="e">
        <f t="shared" si="38"/>
        <v>#N/A</v>
      </c>
      <c r="I210" s="9" t="e">
        <f t="shared" si="39"/>
        <v>#N/A</v>
      </c>
      <c r="X210" s="3" t="e">
        <f t="shared" si="45"/>
        <v>#N/A</v>
      </c>
      <c r="Y210" s="4" t="e">
        <f t="shared" si="46"/>
        <v>#N/A</v>
      </c>
      <c r="Z210" s="4" t="e">
        <f t="shared" si="47"/>
        <v>#N/A</v>
      </c>
    </row>
    <row r="211" spans="1:26">
      <c r="A211" s="7" t="e">
        <f t="shared" si="40"/>
        <v>#N/A</v>
      </c>
      <c r="B211" s="8" t="e">
        <f t="shared" si="41"/>
        <v>#N/A</v>
      </c>
      <c r="C211" s="8" t="e">
        <f t="shared" si="42"/>
        <v>#N/A</v>
      </c>
      <c r="D211" s="8" t="e">
        <f t="shared" si="43"/>
        <v>#N/A</v>
      </c>
      <c r="E211" s="8" t="e">
        <f t="shared" si="36"/>
        <v>#N/A</v>
      </c>
      <c r="F211" s="8" t="e">
        <f t="shared" si="44"/>
        <v>#N/A</v>
      </c>
      <c r="G211" s="8" t="e">
        <f t="shared" si="37"/>
        <v>#N/A</v>
      </c>
      <c r="H211" s="8" t="e">
        <f t="shared" si="38"/>
        <v>#N/A</v>
      </c>
      <c r="I211" s="9" t="e">
        <f t="shared" si="39"/>
        <v>#N/A</v>
      </c>
      <c r="X211" s="3" t="e">
        <f t="shared" si="45"/>
        <v>#N/A</v>
      </c>
      <c r="Y211" s="4" t="e">
        <f t="shared" si="46"/>
        <v>#N/A</v>
      </c>
      <c r="Z211" s="4" t="e">
        <f t="shared" si="47"/>
        <v>#N/A</v>
      </c>
    </row>
    <row r="212" spans="1:26">
      <c r="A212" s="7" t="e">
        <f t="shared" si="40"/>
        <v>#N/A</v>
      </c>
      <c r="B212" s="8" t="e">
        <f t="shared" si="41"/>
        <v>#N/A</v>
      </c>
      <c r="C212" s="8" t="e">
        <f t="shared" si="42"/>
        <v>#N/A</v>
      </c>
      <c r="D212" s="8" t="e">
        <f t="shared" si="43"/>
        <v>#N/A</v>
      </c>
      <c r="E212" s="8" t="e">
        <f t="shared" si="36"/>
        <v>#N/A</v>
      </c>
      <c r="F212" s="8" t="e">
        <f t="shared" si="44"/>
        <v>#N/A</v>
      </c>
      <c r="G212" s="8" t="e">
        <f t="shared" si="37"/>
        <v>#N/A</v>
      </c>
      <c r="H212" s="8" t="e">
        <f t="shared" si="38"/>
        <v>#N/A</v>
      </c>
      <c r="I212" s="9" t="e">
        <f t="shared" si="39"/>
        <v>#N/A</v>
      </c>
      <c r="X212" s="3" t="e">
        <f t="shared" si="45"/>
        <v>#N/A</v>
      </c>
      <c r="Y212" s="4" t="e">
        <f t="shared" si="46"/>
        <v>#N/A</v>
      </c>
      <c r="Z212" s="4" t="e">
        <f t="shared" si="47"/>
        <v>#N/A</v>
      </c>
    </row>
    <row r="213" spans="1:26">
      <c r="A213" s="7" t="e">
        <f t="shared" si="40"/>
        <v>#N/A</v>
      </c>
      <c r="B213" s="8" t="e">
        <f t="shared" si="41"/>
        <v>#N/A</v>
      </c>
      <c r="C213" s="8" t="e">
        <f t="shared" si="42"/>
        <v>#N/A</v>
      </c>
      <c r="D213" s="8" t="e">
        <f t="shared" si="43"/>
        <v>#N/A</v>
      </c>
      <c r="E213" s="8" t="e">
        <f t="shared" si="36"/>
        <v>#N/A</v>
      </c>
      <c r="F213" s="8" t="e">
        <f t="shared" si="44"/>
        <v>#N/A</v>
      </c>
      <c r="G213" s="8" t="e">
        <f t="shared" si="37"/>
        <v>#N/A</v>
      </c>
      <c r="H213" s="8" t="e">
        <f t="shared" si="38"/>
        <v>#N/A</v>
      </c>
      <c r="I213" s="9" t="e">
        <f t="shared" si="39"/>
        <v>#N/A</v>
      </c>
      <c r="X213" s="3" t="e">
        <f t="shared" si="45"/>
        <v>#N/A</v>
      </c>
      <c r="Y213" s="4" t="e">
        <f t="shared" si="46"/>
        <v>#N/A</v>
      </c>
      <c r="Z213" s="4" t="e">
        <f t="shared" si="47"/>
        <v>#N/A</v>
      </c>
    </row>
    <row r="214" spans="1:26">
      <c r="A214" s="7" t="e">
        <f t="shared" si="40"/>
        <v>#N/A</v>
      </c>
      <c r="B214" s="8" t="e">
        <f t="shared" si="41"/>
        <v>#N/A</v>
      </c>
      <c r="C214" s="8" t="e">
        <f t="shared" si="42"/>
        <v>#N/A</v>
      </c>
      <c r="D214" s="8" t="e">
        <f t="shared" si="43"/>
        <v>#N/A</v>
      </c>
      <c r="E214" s="8" t="e">
        <f t="shared" si="36"/>
        <v>#N/A</v>
      </c>
      <c r="F214" s="8" t="e">
        <f t="shared" si="44"/>
        <v>#N/A</v>
      </c>
      <c r="G214" s="8" t="e">
        <f t="shared" si="37"/>
        <v>#N/A</v>
      </c>
      <c r="H214" s="8" t="e">
        <f t="shared" si="38"/>
        <v>#N/A</v>
      </c>
      <c r="I214" s="9" t="e">
        <f t="shared" si="39"/>
        <v>#N/A</v>
      </c>
      <c r="X214" s="3" t="e">
        <f t="shared" si="45"/>
        <v>#N/A</v>
      </c>
      <c r="Y214" s="4" t="e">
        <f t="shared" si="46"/>
        <v>#N/A</v>
      </c>
      <c r="Z214" s="4" t="e">
        <f t="shared" si="47"/>
        <v>#N/A</v>
      </c>
    </row>
    <row r="215" spans="1:26">
      <c r="A215" s="7" t="e">
        <f t="shared" si="40"/>
        <v>#N/A</v>
      </c>
      <c r="B215" s="8" t="e">
        <f t="shared" si="41"/>
        <v>#N/A</v>
      </c>
      <c r="C215" s="8" t="e">
        <f t="shared" si="42"/>
        <v>#N/A</v>
      </c>
      <c r="D215" s="8" t="e">
        <f t="shared" si="43"/>
        <v>#N/A</v>
      </c>
      <c r="E215" s="8" t="e">
        <f t="shared" si="36"/>
        <v>#N/A</v>
      </c>
      <c r="F215" s="8" t="e">
        <f t="shared" si="44"/>
        <v>#N/A</v>
      </c>
      <c r="G215" s="8" t="e">
        <f t="shared" si="37"/>
        <v>#N/A</v>
      </c>
      <c r="H215" s="8" t="e">
        <f t="shared" si="38"/>
        <v>#N/A</v>
      </c>
      <c r="I215" s="9" t="e">
        <f t="shared" si="39"/>
        <v>#N/A</v>
      </c>
      <c r="X215" s="3" t="e">
        <f t="shared" si="45"/>
        <v>#N/A</v>
      </c>
      <c r="Y215" s="4" t="e">
        <f t="shared" si="46"/>
        <v>#N/A</v>
      </c>
      <c r="Z215" s="4" t="e">
        <f t="shared" si="47"/>
        <v>#N/A</v>
      </c>
    </row>
    <row r="216" spans="1:26">
      <c r="A216" s="7" t="e">
        <f t="shared" si="40"/>
        <v>#N/A</v>
      </c>
      <c r="B216" s="8" t="e">
        <f t="shared" si="41"/>
        <v>#N/A</v>
      </c>
      <c r="C216" s="8" t="e">
        <f t="shared" si="42"/>
        <v>#N/A</v>
      </c>
      <c r="D216" s="8" t="e">
        <f t="shared" si="43"/>
        <v>#N/A</v>
      </c>
      <c r="E216" s="8" t="e">
        <f t="shared" si="36"/>
        <v>#N/A</v>
      </c>
      <c r="F216" s="8" t="e">
        <f t="shared" si="44"/>
        <v>#N/A</v>
      </c>
      <c r="G216" s="8" t="e">
        <f t="shared" si="37"/>
        <v>#N/A</v>
      </c>
      <c r="H216" s="8" t="e">
        <f t="shared" si="38"/>
        <v>#N/A</v>
      </c>
      <c r="I216" s="9" t="e">
        <f t="shared" si="39"/>
        <v>#N/A</v>
      </c>
      <c r="X216" s="3" t="e">
        <f t="shared" si="45"/>
        <v>#N/A</v>
      </c>
      <c r="Y216" s="4" t="e">
        <f t="shared" si="46"/>
        <v>#N/A</v>
      </c>
      <c r="Z216" s="4" t="e">
        <f t="shared" si="47"/>
        <v>#N/A</v>
      </c>
    </row>
    <row r="217" spans="1:26">
      <c r="A217" s="7" t="e">
        <f t="shared" si="40"/>
        <v>#N/A</v>
      </c>
      <c r="B217" s="8" t="e">
        <f t="shared" si="41"/>
        <v>#N/A</v>
      </c>
      <c r="C217" s="8" t="e">
        <f t="shared" si="42"/>
        <v>#N/A</v>
      </c>
      <c r="D217" s="8" t="e">
        <f t="shared" si="43"/>
        <v>#N/A</v>
      </c>
      <c r="E217" s="8" t="e">
        <f t="shared" si="36"/>
        <v>#N/A</v>
      </c>
      <c r="F217" s="8" t="e">
        <f t="shared" si="44"/>
        <v>#N/A</v>
      </c>
      <c r="G217" s="8" t="e">
        <f t="shared" si="37"/>
        <v>#N/A</v>
      </c>
      <c r="H217" s="8" t="e">
        <f t="shared" si="38"/>
        <v>#N/A</v>
      </c>
      <c r="I217" s="9" t="e">
        <f t="shared" si="39"/>
        <v>#N/A</v>
      </c>
      <c r="X217" s="3" t="e">
        <f t="shared" si="45"/>
        <v>#N/A</v>
      </c>
      <c r="Y217" s="4" t="e">
        <f t="shared" si="46"/>
        <v>#N/A</v>
      </c>
      <c r="Z217" s="4" t="e">
        <f t="shared" si="47"/>
        <v>#N/A</v>
      </c>
    </row>
    <row r="218" spans="1:26">
      <c r="A218" s="7" t="e">
        <f t="shared" si="40"/>
        <v>#N/A</v>
      </c>
      <c r="B218" s="8" t="e">
        <f t="shared" si="41"/>
        <v>#N/A</v>
      </c>
      <c r="C218" s="8" t="e">
        <f t="shared" si="42"/>
        <v>#N/A</v>
      </c>
      <c r="D218" s="8" t="e">
        <f t="shared" si="43"/>
        <v>#N/A</v>
      </c>
      <c r="E218" s="8" t="e">
        <f t="shared" si="36"/>
        <v>#N/A</v>
      </c>
      <c r="F218" s="8" t="e">
        <f t="shared" si="44"/>
        <v>#N/A</v>
      </c>
      <c r="G218" s="8" t="e">
        <f t="shared" si="37"/>
        <v>#N/A</v>
      </c>
      <c r="H218" s="8" t="e">
        <f t="shared" si="38"/>
        <v>#N/A</v>
      </c>
      <c r="I218" s="9" t="e">
        <f t="shared" si="39"/>
        <v>#N/A</v>
      </c>
      <c r="X218" s="3" t="e">
        <f t="shared" si="45"/>
        <v>#N/A</v>
      </c>
      <c r="Y218" s="4" t="e">
        <f t="shared" si="46"/>
        <v>#N/A</v>
      </c>
      <c r="Z218" s="4" t="e">
        <f t="shared" si="47"/>
        <v>#N/A</v>
      </c>
    </row>
    <row r="219" spans="1:26">
      <c r="A219" s="7" t="e">
        <f t="shared" si="40"/>
        <v>#N/A</v>
      </c>
      <c r="B219" s="8" t="e">
        <f t="shared" si="41"/>
        <v>#N/A</v>
      </c>
      <c r="C219" s="8" t="e">
        <f t="shared" si="42"/>
        <v>#N/A</v>
      </c>
      <c r="D219" s="8" t="e">
        <f t="shared" si="43"/>
        <v>#N/A</v>
      </c>
      <c r="E219" s="8" t="e">
        <f t="shared" si="36"/>
        <v>#N/A</v>
      </c>
      <c r="F219" s="8" t="e">
        <f t="shared" si="44"/>
        <v>#N/A</v>
      </c>
      <c r="G219" s="8" t="e">
        <f t="shared" si="37"/>
        <v>#N/A</v>
      </c>
      <c r="H219" s="8" t="e">
        <f t="shared" si="38"/>
        <v>#N/A</v>
      </c>
      <c r="I219" s="9" t="e">
        <f t="shared" si="39"/>
        <v>#N/A</v>
      </c>
      <c r="X219" s="3" t="e">
        <f t="shared" si="45"/>
        <v>#N/A</v>
      </c>
      <c r="Y219" s="4" t="e">
        <f t="shared" si="46"/>
        <v>#N/A</v>
      </c>
      <c r="Z219" s="4" t="e">
        <f t="shared" si="47"/>
        <v>#N/A</v>
      </c>
    </row>
    <row r="220" spans="1:26">
      <c r="A220" s="7" t="e">
        <f t="shared" si="40"/>
        <v>#N/A</v>
      </c>
      <c r="B220" s="8" t="e">
        <f t="shared" si="41"/>
        <v>#N/A</v>
      </c>
      <c r="C220" s="8" t="e">
        <f t="shared" si="42"/>
        <v>#N/A</v>
      </c>
      <c r="D220" s="8" t="e">
        <f t="shared" si="43"/>
        <v>#N/A</v>
      </c>
      <c r="E220" s="8" t="e">
        <f t="shared" si="36"/>
        <v>#N/A</v>
      </c>
      <c r="F220" s="8" t="e">
        <f t="shared" si="44"/>
        <v>#N/A</v>
      </c>
      <c r="G220" s="8" t="e">
        <f t="shared" si="37"/>
        <v>#N/A</v>
      </c>
      <c r="H220" s="8" t="e">
        <f t="shared" si="38"/>
        <v>#N/A</v>
      </c>
      <c r="I220" s="9" t="e">
        <f t="shared" si="39"/>
        <v>#N/A</v>
      </c>
      <c r="X220" s="3" t="e">
        <f t="shared" si="45"/>
        <v>#N/A</v>
      </c>
      <c r="Y220" s="4" t="e">
        <f t="shared" si="46"/>
        <v>#N/A</v>
      </c>
      <c r="Z220" s="4" t="e">
        <f t="shared" si="47"/>
        <v>#N/A</v>
      </c>
    </row>
    <row r="221" spans="1:26">
      <c r="A221" s="7" t="e">
        <f t="shared" si="40"/>
        <v>#N/A</v>
      </c>
      <c r="B221" s="8" t="e">
        <f t="shared" si="41"/>
        <v>#N/A</v>
      </c>
      <c r="C221" s="8" t="e">
        <f t="shared" si="42"/>
        <v>#N/A</v>
      </c>
      <c r="D221" s="8" t="e">
        <f t="shared" si="43"/>
        <v>#N/A</v>
      </c>
      <c r="E221" s="8" t="e">
        <f t="shared" si="36"/>
        <v>#N/A</v>
      </c>
      <c r="F221" s="8" t="e">
        <f t="shared" si="44"/>
        <v>#N/A</v>
      </c>
      <c r="G221" s="8" t="e">
        <f t="shared" si="37"/>
        <v>#N/A</v>
      </c>
      <c r="H221" s="8" t="e">
        <f t="shared" si="38"/>
        <v>#N/A</v>
      </c>
      <c r="I221" s="9" t="e">
        <f t="shared" si="39"/>
        <v>#N/A</v>
      </c>
      <c r="X221" s="3" t="e">
        <f t="shared" si="45"/>
        <v>#N/A</v>
      </c>
      <c r="Y221" s="4" t="e">
        <f t="shared" si="46"/>
        <v>#N/A</v>
      </c>
      <c r="Z221" s="4" t="e">
        <f t="shared" si="47"/>
        <v>#N/A</v>
      </c>
    </row>
    <row r="222" spans="1:26">
      <c r="A222" s="7" t="e">
        <f t="shared" si="40"/>
        <v>#N/A</v>
      </c>
      <c r="B222" s="8" t="e">
        <f t="shared" si="41"/>
        <v>#N/A</v>
      </c>
      <c r="C222" s="8" t="e">
        <f t="shared" si="42"/>
        <v>#N/A</v>
      </c>
      <c r="D222" s="8" t="e">
        <f t="shared" si="43"/>
        <v>#N/A</v>
      </c>
      <c r="E222" s="8" t="e">
        <f t="shared" si="36"/>
        <v>#N/A</v>
      </c>
      <c r="F222" s="8" t="e">
        <f t="shared" si="44"/>
        <v>#N/A</v>
      </c>
      <c r="G222" s="8" t="e">
        <f t="shared" si="37"/>
        <v>#N/A</v>
      </c>
      <c r="H222" s="8" t="e">
        <f t="shared" si="38"/>
        <v>#N/A</v>
      </c>
      <c r="I222" s="9" t="e">
        <f t="shared" si="39"/>
        <v>#N/A</v>
      </c>
      <c r="X222" s="3" t="e">
        <f t="shared" si="45"/>
        <v>#N/A</v>
      </c>
      <c r="Y222" s="4" t="e">
        <f t="shared" si="46"/>
        <v>#N/A</v>
      </c>
      <c r="Z222" s="4" t="e">
        <f t="shared" si="47"/>
        <v>#N/A</v>
      </c>
    </row>
    <row r="223" spans="1:26">
      <c r="A223" s="7" t="e">
        <f t="shared" si="40"/>
        <v>#N/A</v>
      </c>
      <c r="B223" s="8" t="e">
        <f t="shared" si="41"/>
        <v>#N/A</v>
      </c>
      <c r="C223" s="8" t="e">
        <f t="shared" si="42"/>
        <v>#N/A</v>
      </c>
      <c r="D223" s="8" t="e">
        <f t="shared" si="43"/>
        <v>#N/A</v>
      </c>
      <c r="E223" s="8" t="e">
        <f t="shared" si="36"/>
        <v>#N/A</v>
      </c>
      <c r="F223" s="8" t="e">
        <f t="shared" si="44"/>
        <v>#N/A</v>
      </c>
      <c r="G223" s="8" t="e">
        <f t="shared" si="37"/>
        <v>#N/A</v>
      </c>
      <c r="H223" s="8" t="e">
        <f t="shared" si="38"/>
        <v>#N/A</v>
      </c>
      <c r="I223" s="9" t="e">
        <f t="shared" si="39"/>
        <v>#N/A</v>
      </c>
      <c r="X223" s="3" t="e">
        <f t="shared" si="45"/>
        <v>#N/A</v>
      </c>
      <c r="Y223" s="4" t="e">
        <f t="shared" si="46"/>
        <v>#N/A</v>
      </c>
      <c r="Z223" s="4" t="e">
        <f t="shared" si="47"/>
        <v>#N/A</v>
      </c>
    </row>
    <row r="224" spans="1:26">
      <c r="A224" s="7" t="e">
        <f t="shared" si="40"/>
        <v>#N/A</v>
      </c>
      <c r="B224" s="8" t="e">
        <f t="shared" si="41"/>
        <v>#N/A</v>
      </c>
      <c r="C224" s="8" t="e">
        <f t="shared" si="42"/>
        <v>#N/A</v>
      </c>
      <c r="D224" s="8" t="e">
        <f t="shared" si="43"/>
        <v>#N/A</v>
      </c>
      <c r="E224" s="8" t="e">
        <f t="shared" si="36"/>
        <v>#N/A</v>
      </c>
      <c r="F224" s="8" t="e">
        <f t="shared" si="44"/>
        <v>#N/A</v>
      </c>
      <c r="G224" s="8" t="e">
        <f t="shared" si="37"/>
        <v>#N/A</v>
      </c>
      <c r="H224" s="8" t="e">
        <f t="shared" si="38"/>
        <v>#N/A</v>
      </c>
      <c r="I224" s="9" t="e">
        <f t="shared" si="39"/>
        <v>#N/A</v>
      </c>
      <c r="X224" s="3" t="e">
        <f t="shared" si="45"/>
        <v>#N/A</v>
      </c>
      <c r="Y224" s="4" t="e">
        <f t="shared" si="46"/>
        <v>#N/A</v>
      </c>
      <c r="Z224" s="4" t="e">
        <f t="shared" si="47"/>
        <v>#N/A</v>
      </c>
    </row>
    <row r="225" spans="1:26">
      <c r="A225" s="7" t="e">
        <f t="shared" si="40"/>
        <v>#N/A</v>
      </c>
      <c r="B225" s="8" t="e">
        <f t="shared" si="41"/>
        <v>#N/A</v>
      </c>
      <c r="C225" s="8" t="e">
        <f t="shared" si="42"/>
        <v>#N/A</v>
      </c>
      <c r="D225" s="8" t="e">
        <f t="shared" si="43"/>
        <v>#N/A</v>
      </c>
      <c r="E225" s="8" t="e">
        <f t="shared" si="36"/>
        <v>#N/A</v>
      </c>
      <c r="F225" s="8" t="e">
        <f t="shared" si="44"/>
        <v>#N/A</v>
      </c>
      <c r="G225" s="8" t="e">
        <f t="shared" si="37"/>
        <v>#N/A</v>
      </c>
      <c r="H225" s="8" t="e">
        <f t="shared" si="38"/>
        <v>#N/A</v>
      </c>
      <c r="I225" s="9" t="e">
        <f t="shared" si="39"/>
        <v>#N/A</v>
      </c>
      <c r="X225" s="3" t="e">
        <f t="shared" si="45"/>
        <v>#N/A</v>
      </c>
      <c r="Y225" s="4" t="e">
        <f t="shared" si="46"/>
        <v>#N/A</v>
      </c>
      <c r="Z225" s="4" t="e">
        <f t="shared" si="47"/>
        <v>#N/A</v>
      </c>
    </row>
    <row r="226" spans="1:26">
      <c r="A226" s="7" t="e">
        <f t="shared" si="40"/>
        <v>#N/A</v>
      </c>
      <c r="B226" s="8" t="e">
        <f t="shared" si="41"/>
        <v>#N/A</v>
      </c>
      <c r="C226" s="8" t="e">
        <f t="shared" si="42"/>
        <v>#N/A</v>
      </c>
      <c r="D226" s="8" t="e">
        <f t="shared" si="43"/>
        <v>#N/A</v>
      </c>
      <c r="E226" s="8" t="e">
        <f t="shared" si="36"/>
        <v>#N/A</v>
      </c>
      <c r="F226" s="8" t="e">
        <f t="shared" si="44"/>
        <v>#N/A</v>
      </c>
      <c r="G226" s="8" t="e">
        <f t="shared" si="37"/>
        <v>#N/A</v>
      </c>
      <c r="H226" s="8" t="e">
        <f t="shared" si="38"/>
        <v>#N/A</v>
      </c>
      <c r="I226" s="9" t="e">
        <f t="shared" si="39"/>
        <v>#N/A</v>
      </c>
      <c r="X226" s="3" t="e">
        <f t="shared" si="45"/>
        <v>#N/A</v>
      </c>
      <c r="Y226" s="4" t="e">
        <f t="shared" si="46"/>
        <v>#N/A</v>
      </c>
      <c r="Z226" s="4" t="e">
        <f t="shared" si="47"/>
        <v>#N/A</v>
      </c>
    </row>
    <row r="227" spans="1:26">
      <c r="A227" s="7" t="e">
        <f t="shared" si="40"/>
        <v>#N/A</v>
      </c>
      <c r="B227" s="8" t="e">
        <f t="shared" si="41"/>
        <v>#N/A</v>
      </c>
      <c r="C227" s="8" t="e">
        <f t="shared" si="42"/>
        <v>#N/A</v>
      </c>
      <c r="D227" s="8" t="e">
        <f t="shared" si="43"/>
        <v>#N/A</v>
      </c>
      <c r="E227" s="8" t="e">
        <f t="shared" si="36"/>
        <v>#N/A</v>
      </c>
      <c r="F227" s="8" t="e">
        <f t="shared" si="44"/>
        <v>#N/A</v>
      </c>
      <c r="G227" s="8" t="e">
        <f t="shared" si="37"/>
        <v>#N/A</v>
      </c>
      <c r="H227" s="8" t="e">
        <f t="shared" si="38"/>
        <v>#N/A</v>
      </c>
      <c r="I227" s="9" t="e">
        <f t="shared" si="39"/>
        <v>#N/A</v>
      </c>
      <c r="X227" s="3" t="e">
        <f t="shared" si="45"/>
        <v>#N/A</v>
      </c>
      <c r="Y227" s="4" t="e">
        <f t="shared" si="46"/>
        <v>#N/A</v>
      </c>
      <c r="Z227" s="4" t="e">
        <f t="shared" si="47"/>
        <v>#N/A</v>
      </c>
    </row>
    <row r="228" spans="1:26">
      <c r="A228" s="7" t="e">
        <f t="shared" si="40"/>
        <v>#N/A</v>
      </c>
      <c r="B228" s="8" t="e">
        <f t="shared" si="41"/>
        <v>#N/A</v>
      </c>
      <c r="C228" s="8" t="e">
        <f t="shared" si="42"/>
        <v>#N/A</v>
      </c>
      <c r="D228" s="8" t="e">
        <f t="shared" si="43"/>
        <v>#N/A</v>
      </c>
      <c r="E228" s="8" t="e">
        <f t="shared" si="36"/>
        <v>#N/A</v>
      </c>
      <c r="F228" s="8" t="e">
        <f t="shared" si="44"/>
        <v>#N/A</v>
      </c>
      <c r="G228" s="8" t="e">
        <f t="shared" si="37"/>
        <v>#N/A</v>
      </c>
      <c r="H228" s="8" t="e">
        <f t="shared" si="38"/>
        <v>#N/A</v>
      </c>
      <c r="I228" s="9" t="e">
        <f t="shared" si="39"/>
        <v>#N/A</v>
      </c>
      <c r="X228" s="3" t="e">
        <f t="shared" si="45"/>
        <v>#N/A</v>
      </c>
      <c r="Y228" s="4" t="e">
        <f t="shared" si="46"/>
        <v>#N/A</v>
      </c>
      <c r="Z228" s="4" t="e">
        <f t="shared" si="47"/>
        <v>#N/A</v>
      </c>
    </row>
    <row r="229" spans="1:26">
      <c r="A229" s="7" t="e">
        <f t="shared" si="40"/>
        <v>#N/A</v>
      </c>
      <c r="B229" s="8" t="e">
        <f t="shared" si="41"/>
        <v>#N/A</v>
      </c>
      <c r="C229" s="8" t="e">
        <f t="shared" si="42"/>
        <v>#N/A</v>
      </c>
      <c r="D229" s="8" t="e">
        <f t="shared" si="43"/>
        <v>#N/A</v>
      </c>
      <c r="E229" s="8" t="e">
        <f t="shared" si="36"/>
        <v>#N/A</v>
      </c>
      <c r="F229" s="8" t="e">
        <f t="shared" si="44"/>
        <v>#N/A</v>
      </c>
      <c r="G229" s="8" t="e">
        <f t="shared" si="37"/>
        <v>#N/A</v>
      </c>
      <c r="H229" s="8" t="e">
        <f t="shared" si="38"/>
        <v>#N/A</v>
      </c>
      <c r="I229" s="9" t="e">
        <f t="shared" si="39"/>
        <v>#N/A</v>
      </c>
      <c r="X229" s="3" t="e">
        <f t="shared" si="45"/>
        <v>#N/A</v>
      </c>
      <c r="Y229" s="4" t="e">
        <f t="shared" si="46"/>
        <v>#N/A</v>
      </c>
      <c r="Z229" s="4" t="e">
        <f t="shared" si="47"/>
        <v>#N/A</v>
      </c>
    </row>
    <row r="230" spans="1:26">
      <c r="A230" s="7" t="e">
        <f t="shared" si="40"/>
        <v>#N/A</v>
      </c>
      <c r="B230" s="8" t="e">
        <f t="shared" si="41"/>
        <v>#N/A</v>
      </c>
      <c r="C230" s="8" t="e">
        <f t="shared" si="42"/>
        <v>#N/A</v>
      </c>
      <c r="D230" s="8" t="e">
        <f t="shared" si="43"/>
        <v>#N/A</v>
      </c>
      <c r="E230" s="8" t="e">
        <f t="shared" si="36"/>
        <v>#N/A</v>
      </c>
      <c r="F230" s="8" t="e">
        <f t="shared" si="44"/>
        <v>#N/A</v>
      </c>
      <c r="G230" s="8" t="e">
        <f t="shared" si="37"/>
        <v>#N/A</v>
      </c>
      <c r="H230" s="8" t="e">
        <f t="shared" si="38"/>
        <v>#N/A</v>
      </c>
      <c r="I230" s="9" t="e">
        <f t="shared" si="39"/>
        <v>#N/A</v>
      </c>
      <c r="X230" s="3" t="e">
        <f t="shared" si="45"/>
        <v>#N/A</v>
      </c>
      <c r="Y230" s="4" t="e">
        <f t="shared" si="46"/>
        <v>#N/A</v>
      </c>
      <c r="Z230" s="4" t="e">
        <f t="shared" si="47"/>
        <v>#N/A</v>
      </c>
    </row>
    <row r="231" spans="1:26">
      <c r="A231" s="7" t="e">
        <f t="shared" si="40"/>
        <v>#N/A</v>
      </c>
      <c r="B231" s="8" t="e">
        <f t="shared" si="41"/>
        <v>#N/A</v>
      </c>
      <c r="C231" s="8" t="e">
        <f t="shared" si="42"/>
        <v>#N/A</v>
      </c>
      <c r="D231" s="8" t="e">
        <f t="shared" si="43"/>
        <v>#N/A</v>
      </c>
      <c r="E231" s="8" t="e">
        <f t="shared" si="36"/>
        <v>#N/A</v>
      </c>
      <c r="F231" s="8" t="e">
        <f t="shared" si="44"/>
        <v>#N/A</v>
      </c>
      <c r="G231" s="8" t="e">
        <f t="shared" si="37"/>
        <v>#N/A</v>
      </c>
      <c r="H231" s="8" t="e">
        <f t="shared" si="38"/>
        <v>#N/A</v>
      </c>
      <c r="I231" s="9" t="e">
        <f t="shared" si="39"/>
        <v>#N/A</v>
      </c>
      <c r="X231" s="3" t="e">
        <f t="shared" si="45"/>
        <v>#N/A</v>
      </c>
      <c r="Y231" s="4" t="e">
        <f t="shared" si="46"/>
        <v>#N/A</v>
      </c>
      <c r="Z231" s="4" t="e">
        <f t="shared" si="47"/>
        <v>#N/A</v>
      </c>
    </row>
    <row r="232" spans="1:26">
      <c r="A232" s="7" t="e">
        <f t="shared" si="40"/>
        <v>#N/A</v>
      </c>
      <c r="B232" s="8" t="e">
        <f t="shared" si="41"/>
        <v>#N/A</v>
      </c>
      <c r="C232" s="8" t="e">
        <f t="shared" si="42"/>
        <v>#N/A</v>
      </c>
      <c r="D232" s="8" t="e">
        <f t="shared" si="43"/>
        <v>#N/A</v>
      </c>
      <c r="E232" s="8" t="e">
        <f t="shared" si="36"/>
        <v>#N/A</v>
      </c>
      <c r="F232" s="8" t="e">
        <f t="shared" si="44"/>
        <v>#N/A</v>
      </c>
      <c r="G232" s="8" t="e">
        <f t="shared" si="37"/>
        <v>#N/A</v>
      </c>
      <c r="H232" s="8" t="e">
        <f t="shared" si="38"/>
        <v>#N/A</v>
      </c>
      <c r="I232" s="9" t="e">
        <f t="shared" si="39"/>
        <v>#N/A</v>
      </c>
      <c r="X232" s="3" t="e">
        <f t="shared" si="45"/>
        <v>#N/A</v>
      </c>
      <c r="Y232" s="4" t="e">
        <f t="shared" si="46"/>
        <v>#N/A</v>
      </c>
      <c r="Z232" s="4" t="e">
        <f t="shared" si="47"/>
        <v>#N/A</v>
      </c>
    </row>
    <row r="233" spans="1:26">
      <c r="A233" s="7" t="e">
        <f t="shared" si="40"/>
        <v>#N/A</v>
      </c>
      <c r="B233" s="8" t="e">
        <f t="shared" si="41"/>
        <v>#N/A</v>
      </c>
      <c r="C233" s="8" t="e">
        <f t="shared" si="42"/>
        <v>#N/A</v>
      </c>
      <c r="D233" s="8" t="e">
        <f t="shared" si="43"/>
        <v>#N/A</v>
      </c>
      <c r="E233" s="8" t="e">
        <f t="shared" si="36"/>
        <v>#N/A</v>
      </c>
      <c r="F233" s="8" t="e">
        <f t="shared" si="44"/>
        <v>#N/A</v>
      </c>
      <c r="G233" s="8" t="e">
        <f t="shared" si="37"/>
        <v>#N/A</v>
      </c>
      <c r="H233" s="8" t="e">
        <f t="shared" si="38"/>
        <v>#N/A</v>
      </c>
      <c r="I233" s="9" t="e">
        <f t="shared" si="39"/>
        <v>#N/A</v>
      </c>
      <c r="X233" s="3" t="e">
        <f t="shared" si="45"/>
        <v>#N/A</v>
      </c>
      <c r="Y233" s="4" t="e">
        <f t="shared" si="46"/>
        <v>#N/A</v>
      </c>
      <c r="Z233" s="4" t="e">
        <f t="shared" si="47"/>
        <v>#N/A</v>
      </c>
    </row>
    <row r="234" spans="1:26">
      <c r="A234" s="7" t="e">
        <f t="shared" si="40"/>
        <v>#N/A</v>
      </c>
      <c r="B234" s="8" t="e">
        <f t="shared" si="41"/>
        <v>#N/A</v>
      </c>
      <c r="C234" s="8" t="e">
        <f t="shared" si="42"/>
        <v>#N/A</v>
      </c>
      <c r="D234" s="8" t="e">
        <f t="shared" si="43"/>
        <v>#N/A</v>
      </c>
      <c r="E234" s="8" t="e">
        <f t="shared" si="36"/>
        <v>#N/A</v>
      </c>
      <c r="F234" s="8" t="e">
        <f t="shared" si="44"/>
        <v>#N/A</v>
      </c>
      <c r="G234" s="8" t="e">
        <f t="shared" si="37"/>
        <v>#N/A</v>
      </c>
      <c r="H234" s="8" t="e">
        <f t="shared" si="38"/>
        <v>#N/A</v>
      </c>
      <c r="I234" s="9" t="e">
        <f t="shared" si="39"/>
        <v>#N/A</v>
      </c>
      <c r="X234" s="3" t="e">
        <f t="shared" si="45"/>
        <v>#N/A</v>
      </c>
      <c r="Y234" s="4" t="e">
        <f t="shared" si="46"/>
        <v>#N/A</v>
      </c>
      <c r="Z234" s="4" t="e">
        <f t="shared" si="47"/>
        <v>#N/A</v>
      </c>
    </row>
    <row r="235" spans="1:26">
      <c r="A235" s="7" t="e">
        <f t="shared" si="40"/>
        <v>#N/A</v>
      </c>
      <c r="B235" s="8" t="e">
        <f t="shared" si="41"/>
        <v>#N/A</v>
      </c>
      <c r="C235" s="8" t="e">
        <f t="shared" si="42"/>
        <v>#N/A</v>
      </c>
      <c r="D235" s="8" t="e">
        <f t="shared" si="43"/>
        <v>#N/A</v>
      </c>
      <c r="E235" s="8" t="e">
        <f t="shared" si="36"/>
        <v>#N/A</v>
      </c>
      <c r="F235" s="8" t="e">
        <f t="shared" si="44"/>
        <v>#N/A</v>
      </c>
      <c r="G235" s="8" t="e">
        <f t="shared" si="37"/>
        <v>#N/A</v>
      </c>
      <c r="H235" s="8" t="e">
        <f t="shared" si="38"/>
        <v>#N/A</v>
      </c>
      <c r="I235" s="9" t="e">
        <f t="shared" si="39"/>
        <v>#N/A</v>
      </c>
      <c r="X235" s="3" t="e">
        <f t="shared" si="45"/>
        <v>#N/A</v>
      </c>
      <c r="Y235" s="4" t="e">
        <f t="shared" si="46"/>
        <v>#N/A</v>
      </c>
      <c r="Z235" s="4" t="e">
        <f t="shared" si="47"/>
        <v>#N/A</v>
      </c>
    </row>
    <row r="236" spans="1:26">
      <c r="A236" s="7" t="e">
        <f t="shared" si="40"/>
        <v>#N/A</v>
      </c>
      <c r="B236" s="8" t="e">
        <f t="shared" si="41"/>
        <v>#N/A</v>
      </c>
      <c r="C236" s="8" t="e">
        <f t="shared" si="42"/>
        <v>#N/A</v>
      </c>
      <c r="D236" s="8" t="e">
        <f t="shared" si="43"/>
        <v>#N/A</v>
      </c>
      <c r="E236" s="8" t="e">
        <f t="shared" si="36"/>
        <v>#N/A</v>
      </c>
      <c r="F236" s="8" t="e">
        <f t="shared" si="44"/>
        <v>#N/A</v>
      </c>
      <c r="G236" s="8" t="e">
        <f t="shared" si="37"/>
        <v>#N/A</v>
      </c>
      <c r="H236" s="8" t="e">
        <f t="shared" si="38"/>
        <v>#N/A</v>
      </c>
      <c r="I236" s="9" t="e">
        <f t="shared" si="39"/>
        <v>#N/A</v>
      </c>
      <c r="X236" s="3" t="e">
        <f t="shared" si="45"/>
        <v>#N/A</v>
      </c>
      <c r="Y236" s="4" t="e">
        <f t="shared" si="46"/>
        <v>#N/A</v>
      </c>
      <c r="Z236" s="4" t="e">
        <f t="shared" si="47"/>
        <v>#N/A</v>
      </c>
    </row>
    <row r="237" spans="1:26">
      <c r="A237" s="7" t="e">
        <f t="shared" si="40"/>
        <v>#N/A</v>
      </c>
      <c r="B237" s="8" t="e">
        <f t="shared" si="41"/>
        <v>#N/A</v>
      </c>
      <c r="C237" s="8" t="e">
        <f t="shared" si="42"/>
        <v>#N/A</v>
      </c>
      <c r="D237" s="8" t="e">
        <f t="shared" si="43"/>
        <v>#N/A</v>
      </c>
      <c r="E237" s="8" t="e">
        <f t="shared" si="36"/>
        <v>#N/A</v>
      </c>
      <c r="F237" s="8" t="e">
        <f t="shared" si="44"/>
        <v>#N/A</v>
      </c>
      <c r="G237" s="8" t="e">
        <f t="shared" si="37"/>
        <v>#N/A</v>
      </c>
      <c r="H237" s="8" t="e">
        <f t="shared" si="38"/>
        <v>#N/A</v>
      </c>
      <c r="I237" s="9" t="e">
        <f t="shared" si="39"/>
        <v>#N/A</v>
      </c>
      <c r="X237" s="3" t="e">
        <f t="shared" si="45"/>
        <v>#N/A</v>
      </c>
      <c r="Y237" s="4" t="e">
        <f t="shared" si="46"/>
        <v>#N/A</v>
      </c>
      <c r="Z237" s="4" t="e">
        <f t="shared" si="47"/>
        <v>#N/A</v>
      </c>
    </row>
    <row r="238" spans="1:26">
      <c r="A238" s="7" t="e">
        <f t="shared" si="40"/>
        <v>#N/A</v>
      </c>
      <c r="B238" s="8" t="e">
        <f t="shared" si="41"/>
        <v>#N/A</v>
      </c>
      <c r="C238" s="8" t="e">
        <f t="shared" si="42"/>
        <v>#N/A</v>
      </c>
      <c r="D238" s="8" t="e">
        <f t="shared" si="43"/>
        <v>#N/A</v>
      </c>
      <c r="E238" s="8" t="e">
        <f t="shared" si="36"/>
        <v>#N/A</v>
      </c>
      <c r="F238" s="8" t="e">
        <f t="shared" si="44"/>
        <v>#N/A</v>
      </c>
      <c r="G238" s="8" t="e">
        <f t="shared" si="37"/>
        <v>#N/A</v>
      </c>
      <c r="H238" s="8" t="e">
        <f t="shared" si="38"/>
        <v>#N/A</v>
      </c>
      <c r="I238" s="9" t="e">
        <f t="shared" si="39"/>
        <v>#N/A</v>
      </c>
      <c r="X238" s="3" t="e">
        <f t="shared" si="45"/>
        <v>#N/A</v>
      </c>
      <c r="Y238" s="4" t="e">
        <f t="shared" si="46"/>
        <v>#N/A</v>
      </c>
      <c r="Z238" s="4" t="e">
        <f t="shared" si="47"/>
        <v>#N/A</v>
      </c>
    </row>
    <row r="239" spans="1:26">
      <c r="A239" s="7" t="e">
        <f t="shared" si="40"/>
        <v>#N/A</v>
      </c>
      <c r="B239" s="8" t="e">
        <f t="shared" si="41"/>
        <v>#N/A</v>
      </c>
      <c r="C239" s="8" t="e">
        <f t="shared" si="42"/>
        <v>#N/A</v>
      </c>
      <c r="D239" s="8" t="e">
        <f t="shared" si="43"/>
        <v>#N/A</v>
      </c>
      <c r="E239" s="8" t="e">
        <f t="shared" si="36"/>
        <v>#N/A</v>
      </c>
      <c r="F239" s="8" t="e">
        <f t="shared" si="44"/>
        <v>#N/A</v>
      </c>
      <c r="G239" s="8" t="e">
        <f t="shared" si="37"/>
        <v>#N/A</v>
      </c>
      <c r="H239" s="8" t="e">
        <f t="shared" si="38"/>
        <v>#N/A</v>
      </c>
      <c r="I239" s="9" t="e">
        <f t="shared" si="39"/>
        <v>#N/A</v>
      </c>
      <c r="X239" s="3" t="e">
        <f t="shared" si="45"/>
        <v>#N/A</v>
      </c>
      <c r="Y239" s="4" t="e">
        <f t="shared" si="46"/>
        <v>#N/A</v>
      </c>
      <c r="Z239" s="4" t="e">
        <f t="shared" si="47"/>
        <v>#N/A</v>
      </c>
    </row>
    <row r="240" spans="1:26">
      <c r="A240" s="7" t="e">
        <f t="shared" si="40"/>
        <v>#N/A</v>
      </c>
      <c r="B240" s="8" t="e">
        <f t="shared" si="41"/>
        <v>#N/A</v>
      </c>
      <c r="C240" s="8" t="e">
        <f t="shared" si="42"/>
        <v>#N/A</v>
      </c>
      <c r="D240" s="8" t="e">
        <f t="shared" si="43"/>
        <v>#N/A</v>
      </c>
      <c r="E240" s="8" t="e">
        <f t="shared" si="36"/>
        <v>#N/A</v>
      </c>
      <c r="F240" s="8" t="e">
        <f t="shared" si="44"/>
        <v>#N/A</v>
      </c>
      <c r="G240" s="8" t="e">
        <f t="shared" si="37"/>
        <v>#N/A</v>
      </c>
      <c r="H240" s="8" t="e">
        <f t="shared" si="38"/>
        <v>#N/A</v>
      </c>
      <c r="I240" s="9" t="e">
        <f t="shared" si="39"/>
        <v>#N/A</v>
      </c>
      <c r="X240" s="3" t="e">
        <f t="shared" si="45"/>
        <v>#N/A</v>
      </c>
      <c r="Y240" s="4" t="e">
        <f t="shared" si="46"/>
        <v>#N/A</v>
      </c>
      <c r="Z240" s="4" t="e">
        <f t="shared" si="47"/>
        <v>#N/A</v>
      </c>
    </row>
    <row r="241" spans="1:26">
      <c r="A241" s="7" t="e">
        <f t="shared" si="40"/>
        <v>#N/A</v>
      </c>
      <c r="B241" s="8" t="e">
        <f t="shared" si="41"/>
        <v>#N/A</v>
      </c>
      <c r="C241" s="8" t="e">
        <f t="shared" si="42"/>
        <v>#N/A</v>
      </c>
      <c r="D241" s="8" t="e">
        <f t="shared" si="43"/>
        <v>#N/A</v>
      </c>
      <c r="E241" s="8" t="e">
        <f t="shared" si="36"/>
        <v>#N/A</v>
      </c>
      <c r="F241" s="8" t="e">
        <f t="shared" si="44"/>
        <v>#N/A</v>
      </c>
      <c r="G241" s="8" t="e">
        <f t="shared" si="37"/>
        <v>#N/A</v>
      </c>
      <c r="H241" s="8" t="e">
        <f t="shared" si="38"/>
        <v>#N/A</v>
      </c>
      <c r="I241" s="9" t="e">
        <f t="shared" si="39"/>
        <v>#N/A</v>
      </c>
      <c r="X241" s="3" t="e">
        <f t="shared" si="45"/>
        <v>#N/A</v>
      </c>
      <c r="Y241" s="4" t="e">
        <f t="shared" si="46"/>
        <v>#N/A</v>
      </c>
      <c r="Z241" s="4" t="e">
        <f t="shared" si="47"/>
        <v>#N/A</v>
      </c>
    </row>
    <row r="242" spans="1:26">
      <c r="A242" s="7" t="e">
        <f t="shared" si="40"/>
        <v>#N/A</v>
      </c>
      <c r="B242" s="8" t="e">
        <f t="shared" si="41"/>
        <v>#N/A</v>
      </c>
      <c r="C242" s="8" t="e">
        <f t="shared" si="42"/>
        <v>#N/A</v>
      </c>
      <c r="D242" s="8" t="e">
        <f t="shared" si="43"/>
        <v>#N/A</v>
      </c>
      <c r="E242" s="8" t="e">
        <f t="shared" si="36"/>
        <v>#N/A</v>
      </c>
      <c r="F242" s="8" t="e">
        <f t="shared" si="44"/>
        <v>#N/A</v>
      </c>
      <c r="G242" s="8" t="e">
        <f t="shared" si="37"/>
        <v>#N/A</v>
      </c>
      <c r="H242" s="8" t="e">
        <f t="shared" si="38"/>
        <v>#N/A</v>
      </c>
      <c r="I242" s="9" t="e">
        <f t="shared" si="39"/>
        <v>#N/A</v>
      </c>
      <c r="X242" s="3" t="e">
        <f t="shared" si="45"/>
        <v>#N/A</v>
      </c>
      <c r="Y242" s="4" t="e">
        <f t="shared" si="46"/>
        <v>#N/A</v>
      </c>
      <c r="Z242" s="4" t="e">
        <f t="shared" si="47"/>
        <v>#N/A</v>
      </c>
    </row>
    <row r="243" spans="1:26">
      <c r="A243" s="7" t="e">
        <f t="shared" si="40"/>
        <v>#N/A</v>
      </c>
      <c r="B243" s="8" t="e">
        <f t="shared" si="41"/>
        <v>#N/A</v>
      </c>
      <c r="C243" s="8" t="e">
        <f t="shared" si="42"/>
        <v>#N/A</v>
      </c>
      <c r="D243" s="8" t="e">
        <f t="shared" si="43"/>
        <v>#N/A</v>
      </c>
      <c r="E243" s="8" t="e">
        <f t="shared" si="36"/>
        <v>#N/A</v>
      </c>
      <c r="F243" s="8" t="e">
        <f t="shared" si="44"/>
        <v>#N/A</v>
      </c>
      <c r="G243" s="8" t="e">
        <f t="shared" si="37"/>
        <v>#N/A</v>
      </c>
      <c r="H243" s="8" t="e">
        <f t="shared" si="38"/>
        <v>#N/A</v>
      </c>
      <c r="I243" s="9" t="e">
        <f t="shared" si="39"/>
        <v>#N/A</v>
      </c>
      <c r="X243" s="3" t="e">
        <f t="shared" si="45"/>
        <v>#N/A</v>
      </c>
      <c r="Y243" s="4" t="e">
        <f t="shared" si="46"/>
        <v>#N/A</v>
      </c>
      <c r="Z243" s="4" t="e">
        <f t="shared" si="47"/>
        <v>#N/A</v>
      </c>
    </row>
    <row r="244" spans="1:26">
      <c r="A244" s="7" t="e">
        <f t="shared" si="40"/>
        <v>#N/A</v>
      </c>
      <c r="B244" s="8" t="e">
        <f t="shared" si="41"/>
        <v>#N/A</v>
      </c>
      <c r="C244" s="8" t="e">
        <f t="shared" si="42"/>
        <v>#N/A</v>
      </c>
      <c r="D244" s="8" t="e">
        <f t="shared" si="43"/>
        <v>#N/A</v>
      </c>
      <c r="E244" s="8" t="e">
        <f t="shared" si="36"/>
        <v>#N/A</v>
      </c>
      <c r="F244" s="8" t="e">
        <f t="shared" si="44"/>
        <v>#N/A</v>
      </c>
      <c r="G244" s="8" t="e">
        <f t="shared" si="37"/>
        <v>#N/A</v>
      </c>
      <c r="H244" s="8" t="e">
        <f t="shared" si="38"/>
        <v>#N/A</v>
      </c>
      <c r="I244" s="9" t="e">
        <f t="shared" si="39"/>
        <v>#N/A</v>
      </c>
      <c r="X244" s="3" t="e">
        <f t="shared" si="45"/>
        <v>#N/A</v>
      </c>
      <c r="Y244" s="4" t="e">
        <f t="shared" si="46"/>
        <v>#N/A</v>
      </c>
      <c r="Z244" s="4" t="e">
        <f t="shared" si="47"/>
        <v>#N/A</v>
      </c>
    </row>
    <row r="245" spans="1:26">
      <c r="A245" s="7" t="e">
        <f t="shared" si="40"/>
        <v>#N/A</v>
      </c>
      <c r="B245" s="8" t="e">
        <f t="shared" si="41"/>
        <v>#N/A</v>
      </c>
      <c r="C245" s="8" t="e">
        <f t="shared" si="42"/>
        <v>#N/A</v>
      </c>
      <c r="D245" s="8" t="e">
        <f t="shared" si="43"/>
        <v>#N/A</v>
      </c>
      <c r="E245" s="8" t="e">
        <f t="shared" si="36"/>
        <v>#N/A</v>
      </c>
      <c r="F245" s="8" t="e">
        <f t="shared" si="44"/>
        <v>#N/A</v>
      </c>
      <c r="G245" s="8" t="e">
        <f t="shared" si="37"/>
        <v>#N/A</v>
      </c>
      <c r="H245" s="8" t="e">
        <f t="shared" si="38"/>
        <v>#N/A</v>
      </c>
      <c r="I245" s="9" t="e">
        <f t="shared" si="39"/>
        <v>#N/A</v>
      </c>
      <c r="X245" s="3" t="e">
        <f t="shared" si="45"/>
        <v>#N/A</v>
      </c>
      <c r="Y245" s="4" t="e">
        <f t="shared" si="46"/>
        <v>#N/A</v>
      </c>
      <c r="Z245" s="4" t="e">
        <f t="shared" si="47"/>
        <v>#N/A</v>
      </c>
    </row>
    <row r="246" spans="1:26">
      <c r="A246" s="7" t="e">
        <f t="shared" si="40"/>
        <v>#N/A</v>
      </c>
      <c r="B246" s="8" t="e">
        <f t="shared" si="41"/>
        <v>#N/A</v>
      </c>
      <c r="C246" s="8" t="e">
        <f t="shared" si="42"/>
        <v>#N/A</v>
      </c>
      <c r="D246" s="8" t="e">
        <f t="shared" si="43"/>
        <v>#N/A</v>
      </c>
      <c r="E246" s="8" t="e">
        <f t="shared" si="36"/>
        <v>#N/A</v>
      </c>
      <c r="F246" s="8" t="e">
        <f t="shared" si="44"/>
        <v>#N/A</v>
      </c>
      <c r="G246" s="8" t="e">
        <f t="shared" si="37"/>
        <v>#N/A</v>
      </c>
      <c r="H246" s="8" t="e">
        <f t="shared" si="38"/>
        <v>#N/A</v>
      </c>
      <c r="I246" s="9" t="e">
        <f t="shared" si="39"/>
        <v>#N/A</v>
      </c>
      <c r="X246" s="3" t="e">
        <f t="shared" si="45"/>
        <v>#N/A</v>
      </c>
      <c r="Y246" s="4" t="e">
        <f t="shared" si="46"/>
        <v>#N/A</v>
      </c>
      <c r="Z246" s="4" t="e">
        <f t="shared" si="47"/>
        <v>#N/A</v>
      </c>
    </row>
    <row r="247" spans="1:26">
      <c r="A247" s="7" t="e">
        <f t="shared" si="40"/>
        <v>#N/A</v>
      </c>
      <c r="B247" s="8" t="e">
        <f t="shared" si="41"/>
        <v>#N/A</v>
      </c>
      <c r="C247" s="8" t="e">
        <f t="shared" si="42"/>
        <v>#N/A</v>
      </c>
      <c r="D247" s="8" t="e">
        <f t="shared" si="43"/>
        <v>#N/A</v>
      </c>
      <c r="E247" s="8" t="e">
        <f t="shared" si="36"/>
        <v>#N/A</v>
      </c>
      <c r="F247" s="8" t="e">
        <f t="shared" si="44"/>
        <v>#N/A</v>
      </c>
      <c r="G247" s="8" t="e">
        <f t="shared" si="37"/>
        <v>#N/A</v>
      </c>
      <c r="H247" s="8" t="e">
        <f t="shared" si="38"/>
        <v>#N/A</v>
      </c>
      <c r="I247" s="9" t="e">
        <f t="shared" si="39"/>
        <v>#N/A</v>
      </c>
      <c r="X247" s="3" t="e">
        <f t="shared" si="45"/>
        <v>#N/A</v>
      </c>
      <c r="Y247" s="4" t="e">
        <f t="shared" si="46"/>
        <v>#N/A</v>
      </c>
      <c r="Z247" s="4" t="e">
        <f t="shared" si="47"/>
        <v>#N/A</v>
      </c>
    </row>
    <row r="248" spans="1:26">
      <c r="A248" s="7" t="e">
        <f t="shared" si="40"/>
        <v>#N/A</v>
      </c>
      <c r="B248" s="8" t="e">
        <f t="shared" si="41"/>
        <v>#N/A</v>
      </c>
      <c r="C248" s="8" t="e">
        <f t="shared" si="42"/>
        <v>#N/A</v>
      </c>
      <c r="D248" s="8" t="e">
        <f t="shared" si="43"/>
        <v>#N/A</v>
      </c>
      <c r="E248" s="8" t="e">
        <f t="shared" si="36"/>
        <v>#N/A</v>
      </c>
      <c r="F248" s="8" t="e">
        <f t="shared" si="44"/>
        <v>#N/A</v>
      </c>
      <c r="G248" s="8" t="e">
        <f t="shared" si="37"/>
        <v>#N/A</v>
      </c>
      <c r="H248" s="8" t="e">
        <f t="shared" si="38"/>
        <v>#N/A</v>
      </c>
      <c r="I248" s="9" t="e">
        <f t="shared" si="39"/>
        <v>#N/A</v>
      </c>
      <c r="X248" s="3" t="e">
        <f t="shared" si="45"/>
        <v>#N/A</v>
      </c>
      <c r="Y248" s="4" t="e">
        <f t="shared" si="46"/>
        <v>#N/A</v>
      </c>
      <c r="Z248" s="4" t="e">
        <f t="shared" si="47"/>
        <v>#N/A</v>
      </c>
    </row>
    <row r="249" spans="1:26">
      <c r="A249" s="7" t="e">
        <f t="shared" si="40"/>
        <v>#N/A</v>
      </c>
      <c r="B249" s="8" t="e">
        <f t="shared" si="41"/>
        <v>#N/A</v>
      </c>
      <c r="C249" s="8" t="e">
        <f t="shared" si="42"/>
        <v>#N/A</v>
      </c>
      <c r="D249" s="8" t="e">
        <f t="shared" si="43"/>
        <v>#N/A</v>
      </c>
      <c r="E249" s="8" t="e">
        <f t="shared" si="36"/>
        <v>#N/A</v>
      </c>
      <c r="F249" s="8" t="e">
        <f t="shared" si="44"/>
        <v>#N/A</v>
      </c>
      <c r="G249" s="8" t="e">
        <f t="shared" si="37"/>
        <v>#N/A</v>
      </c>
      <c r="H249" s="8" t="e">
        <f t="shared" si="38"/>
        <v>#N/A</v>
      </c>
      <c r="I249" s="9" t="e">
        <f t="shared" si="39"/>
        <v>#N/A</v>
      </c>
      <c r="X249" s="3" t="e">
        <f t="shared" si="45"/>
        <v>#N/A</v>
      </c>
      <c r="Y249" s="4" t="e">
        <f t="shared" si="46"/>
        <v>#N/A</v>
      </c>
      <c r="Z249" s="4" t="e">
        <f t="shared" si="47"/>
        <v>#N/A</v>
      </c>
    </row>
    <row r="250" spans="1:26">
      <c r="A250" s="7" t="e">
        <f t="shared" si="40"/>
        <v>#N/A</v>
      </c>
      <c r="B250" s="8" t="e">
        <f t="shared" si="41"/>
        <v>#N/A</v>
      </c>
      <c r="C250" s="8" t="e">
        <f t="shared" si="42"/>
        <v>#N/A</v>
      </c>
      <c r="D250" s="8" t="e">
        <f t="shared" si="43"/>
        <v>#N/A</v>
      </c>
      <c r="E250" s="8" t="e">
        <f t="shared" si="36"/>
        <v>#N/A</v>
      </c>
      <c r="F250" s="8" t="e">
        <f t="shared" si="44"/>
        <v>#N/A</v>
      </c>
      <c r="G250" s="8" t="e">
        <f t="shared" si="37"/>
        <v>#N/A</v>
      </c>
      <c r="H250" s="8" t="e">
        <f t="shared" si="38"/>
        <v>#N/A</v>
      </c>
      <c r="I250" s="9" t="e">
        <f t="shared" si="39"/>
        <v>#N/A</v>
      </c>
      <c r="X250" s="3" t="e">
        <f t="shared" si="45"/>
        <v>#N/A</v>
      </c>
      <c r="Y250" s="4" t="e">
        <f t="shared" si="46"/>
        <v>#N/A</v>
      </c>
      <c r="Z250" s="4" t="e">
        <f t="shared" si="47"/>
        <v>#N/A</v>
      </c>
    </row>
    <row r="251" spans="1:26">
      <c r="A251" s="7" t="e">
        <f t="shared" si="40"/>
        <v>#N/A</v>
      </c>
      <c r="B251" s="8" t="e">
        <f t="shared" si="41"/>
        <v>#N/A</v>
      </c>
      <c r="C251" s="8" t="e">
        <f t="shared" si="42"/>
        <v>#N/A</v>
      </c>
      <c r="D251" s="8" t="e">
        <f t="shared" si="43"/>
        <v>#N/A</v>
      </c>
      <c r="E251" s="8" t="e">
        <f t="shared" si="36"/>
        <v>#N/A</v>
      </c>
      <c r="F251" s="8" t="e">
        <f t="shared" si="44"/>
        <v>#N/A</v>
      </c>
      <c r="G251" s="8" t="e">
        <f t="shared" si="37"/>
        <v>#N/A</v>
      </c>
      <c r="H251" s="8" t="e">
        <f t="shared" si="38"/>
        <v>#N/A</v>
      </c>
      <c r="I251" s="9" t="e">
        <f t="shared" si="39"/>
        <v>#N/A</v>
      </c>
      <c r="X251" s="3" t="e">
        <f t="shared" si="45"/>
        <v>#N/A</v>
      </c>
      <c r="Y251" s="4" t="e">
        <f t="shared" si="46"/>
        <v>#N/A</v>
      </c>
      <c r="Z251" s="4" t="e">
        <f t="shared" si="47"/>
        <v>#N/A</v>
      </c>
    </row>
    <row r="252" spans="1:26">
      <c r="A252" s="7" t="e">
        <f t="shared" si="40"/>
        <v>#N/A</v>
      </c>
      <c r="B252" s="8" t="e">
        <f t="shared" si="41"/>
        <v>#N/A</v>
      </c>
      <c r="C252" s="8" t="e">
        <f t="shared" si="42"/>
        <v>#N/A</v>
      </c>
      <c r="D252" s="8" t="e">
        <f t="shared" si="43"/>
        <v>#N/A</v>
      </c>
      <c r="E252" s="8" t="e">
        <f t="shared" si="36"/>
        <v>#N/A</v>
      </c>
      <c r="F252" s="8" t="e">
        <f t="shared" si="44"/>
        <v>#N/A</v>
      </c>
      <c r="G252" s="8" t="e">
        <f t="shared" si="37"/>
        <v>#N/A</v>
      </c>
      <c r="H252" s="8" t="e">
        <f t="shared" si="38"/>
        <v>#N/A</v>
      </c>
      <c r="I252" s="9" t="e">
        <f t="shared" si="39"/>
        <v>#N/A</v>
      </c>
      <c r="X252" s="3" t="e">
        <f t="shared" si="45"/>
        <v>#N/A</v>
      </c>
      <c r="Y252" s="4" t="e">
        <f t="shared" si="46"/>
        <v>#N/A</v>
      </c>
      <c r="Z252" s="4" t="e">
        <f t="shared" si="47"/>
        <v>#N/A</v>
      </c>
    </row>
    <row r="253" spans="1:26">
      <c r="D253" s="8" t="e">
        <f t="shared" si="43"/>
        <v>#N/A</v>
      </c>
      <c r="X253" s="3" t="e">
        <f t="shared" si="45"/>
        <v>#N/A</v>
      </c>
      <c r="Y253" s="4" t="e">
        <f t="shared" si="46"/>
        <v>#N/A</v>
      </c>
      <c r="Z253" s="4" t="e">
        <f t="shared" si="47"/>
        <v>#N/A</v>
      </c>
    </row>
    <row r="254" spans="1:26">
      <c r="X254" s="3" t="e">
        <f t="shared" si="45"/>
        <v>#N/A</v>
      </c>
      <c r="Y254" s="4" t="e">
        <f t="shared" si="46"/>
        <v>#N/A</v>
      </c>
      <c r="Z254" s="4" t="e">
        <f t="shared" si="47"/>
        <v>#N/A</v>
      </c>
    </row>
    <row r="255" spans="1:26">
      <c r="X255" s="3" t="e">
        <f t="shared" si="45"/>
        <v>#N/A</v>
      </c>
      <c r="Y255" s="4" t="e">
        <f t="shared" si="46"/>
        <v>#N/A</v>
      </c>
      <c r="Z255" s="4" t="e">
        <f t="shared" si="47"/>
        <v>#N/A</v>
      </c>
    </row>
    <row r="256" spans="1:26">
      <c r="X256" s="3" t="e">
        <f t="shared" si="45"/>
        <v>#N/A</v>
      </c>
      <c r="Y256" s="4" t="e">
        <f t="shared" si="46"/>
        <v>#N/A</v>
      </c>
      <c r="Z256" s="4" t="e">
        <f t="shared" si="47"/>
        <v>#N/A</v>
      </c>
    </row>
    <row r="257" spans="24:26">
      <c r="X257" s="3" t="e">
        <f t="shared" si="45"/>
        <v>#N/A</v>
      </c>
      <c r="Y257" s="4" t="e">
        <f t="shared" si="46"/>
        <v>#N/A</v>
      </c>
      <c r="Z257" s="4" t="e">
        <f t="shared" si="47"/>
        <v>#N/A</v>
      </c>
    </row>
    <row r="258" spans="24:26">
      <c r="X258" s="3" t="e">
        <f t="shared" si="45"/>
        <v>#N/A</v>
      </c>
      <c r="Y258" s="4" t="e">
        <f t="shared" si="46"/>
        <v>#N/A</v>
      </c>
      <c r="Z258" s="4" t="e">
        <f t="shared" si="47"/>
        <v>#N/A</v>
      </c>
    </row>
    <row r="259" spans="24:26">
      <c r="X259" s="3" t="e">
        <f t="shared" si="45"/>
        <v>#N/A</v>
      </c>
      <c r="Y259" s="4" t="e">
        <f t="shared" si="46"/>
        <v>#N/A</v>
      </c>
      <c r="Z259" s="4" t="e">
        <f t="shared" si="47"/>
        <v>#N/A</v>
      </c>
    </row>
    <row r="260" spans="24:26">
      <c r="X260" s="3" t="e">
        <f t="shared" si="45"/>
        <v>#N/A</v>
      </c>
      <c r="Y260" s="4" t="e">
        <f t="shared" si="46"/>
        <v>#N/A</v>
      </c>
      <c r="Z260" s="4" t="e">
        <f t="shared" si="47"/>
        <v>#N/A</v>
      </c>
    </row>
    <row r="261" spans="24:26">
      <c r="X261" s="3" t="e">
        <f t="shared" si="45"/>
        <v>#N/A</v>
      </c>
      <c r="Y261" s="4" t="e">
        <f t="shared" si="46"/>
        <v>#N/A</v>
      </c>
      <c r="Z261" s="4" t="e">
        <f t="shared" si="47"/>
        <v>#N/A</v>
      </c>
    </row>
    <row r="262" spans="24:26">
      <c r="X262" s="3" t="e">
        <f t="shared" si="45"/>
        <v>#N/A</v>
      </c>
      <c r="Y262" s="4" t="e">
        <f t="shared" si="46"/>
        <v>#N/A</v>
      </c>
      <c r="Z262" s="4" t="e">
        <f t="shared" si="47"/>
        <v>#N/A</v>
      </c>
    </row>
    <row r="263" spans="24:26">
      <c r="X263" s="3" t="e">
        <f t="shared" si="45"/>
        <v>#N/A</v>
      </c>
      <c r="Y263" s="4" t="e">
        <f t="shared" si="46"/>
        <v>#N/A</v>
      </c>
      <c r="Z263" s="4" t="e">
        <f t="shared" si="47"/>
        <v>#N/A</v>
      </c>
    </row>
    <row r="264" spans="24:26">
      <c r="X264" s="3" t="e">
        <f t="shared" si="45"/>
        <v>#N/A</v>
      </c>
      <c r="Y264" s="4" t="e">
        <f t="shared" si="46"/>
        <v>#N/A</v>
      </c>
      <c r="Z264" s="4" t="e">
        <f t="shared" si="47"/>
        <v>#N/A</v>
      </c>
    </row>
    <row r="265" spans="24:26">
      <c r="X265" s="3" t="e">
        <f t="shared" si="45"/>
        <v>#N/A</v>
      </c>
      <c r="Y265" s="4" t="e">
        <f t="shared" si="46"/>
        <v>#N/A</v>
      </c>
      <c r="Z265" s="4" t="e">
        <f t="shared" si="47"/>
        <v>#N/A</v>
      </c>
    </row>
    <row r="266" spans="24:26">
      <c r="X266" s="3" t="e">
        <f t="shared" si="45"/>
        <v>#N/A</v>
      </c>
      <c r="Y266" s="4" t="e">
        <f t="shared" si="46"/>
        <v>#N/A</v>
      </c>
      <c r="Z266" s="4" t="e">
        <f t="shared" si="47"/>
        <v>#N/A</v>
      </c>
    </row>
    <row r="267" spans="24:26">
      <c r="X267" s="3" t="e">
        <f t="shared" si="45"/>
        <v>#N/A</v>
      </c>
      <c r="Y267" s="4" t="e">
        <f t="shared" si="46"/>
        <v>#N/A</v>
      </c>
      <c r="Z267" s="4" t="e">
        <f t="shared" si="47"/>
        <v>#N/A</v>
      </c>
    </row>
    <row r="268" spans="24:26">
      <c r="X268" s="3" t="e">
        <f t="shared" si="45"/>
        <v>#N/A</v>
      </c>
      <c r="Y268" s="4" t="e">
        <f t="shared" si="46"/>
        <v>#N/A</v>
      </c>
      <c r="Z268" s="4" t="e">
        <f t="shared" si="47"/>
        <v>#N/A</v>
      </c>
    </row>
    <row r="269" spans="24:26">
      <c r="X269" s="3" t="e">
        <f t="shared" si="45"/>
        <v>#N/A</v>
      </c>
      <c r="Y269" s="4" t="e">
        <f t="shared" si="46"/>
        <v>#N/A</v>
      </c>
      <c r="Z269" s="4" t="e">
        <f t="shared" si="47"/>
        <v>#N/A</v>
      </c>
    </row>
    <row r="270" spans="24:26">
      <c r="X270" s="3" t="e">
        <f t="shared" ref="X270:X301" si="48">IF(ISNUMBER($A270),$A270,NA())</f>
        <v>#N/A</v>
      </c>
      <c r="Y270" s="4" t="e">
        <f t="shared" ref="Y270:Y301" si="49">IF(ISNUMBER($A270),$D270,NA())</f>
        <v>#N/A</v>
      </c>
      <c r="Z270" s="4" t="e">
        <f t="shared" ref="Z270:Z300" si="50">IF(ISNUMBER($A270),$F270,NA())</f>
        <v>#N/A</v>
      </c>
    </row>
    <row r="271" spans="24:26">
      <c r="X271" s="3" t="e">
        <f t="shared" si="48"/>
        <v>#N/A</v>
      </c>
      <c r="Y271" s="4" t="e">
        <f t="shared" si="49"/>
        <v>#N/A</v>
      </c>
      <c r="Z271" s="4" t="e">
        <f t="shared" si="50"/>
        <v>#N/A</v>
      </c>
    </row>
    <row r="272" spans="24:26">
      <c r="X272" s="3" t="e">
        <f t="shared" si="48"/>
        <v>#N/A</v>
      </c>
      <c r="Y272" s="4" t="e">
        <f t="shared" si="49"/>
        <v>#N/A</v>
      </c>
      <c r="Z272" s="4" t="e">
        <f t="shared" si="50"/>
        <v>#N/A</v>
      </c>
    </row>
    <row r="273" spans="24:26">
      <c r="X273" s="3" t="e">
        <f t="shared" si="48"/>
        <v>#N/A</v>
      </c>
      <c r="Y273" s="4" t="e">
        <f t="shared" si="49"/>
        <v>#N/A</v>
      </c>
      <c r="Z273" s="4" t="e">
        <f t="shared" si="50"/>
        <v>#N/A</v>
      </c>
    </row>
    <row r="274" spans="24:26">
      <c r="X274" s="3" t="e">
        <f t="shared" si="48"/>
        <v>#N/A</v>
      </c>
      <c r="Y274" s="4" t="e">
        <f t="shared" si="49"/>
        <v>#N/A</v>
      </c>
      <c r="Z274" s="4" t="e">
        <f t="shared" si="50"/>
        <v>#N/A</v>
      </c>
    </row>
    <row r="275" spans="24:26">
      <c r="X275" s="3" t="e">
        <f t="shared" si="48"/>
        <v>#N/A</v>
      </c>
      <c r="Y275" s="4" t="e">
        <f t="shared" si="49"/>
        <v>#N/A</v>
      </c>
      <c r="Z275" s="4" t="e">
        <f t="shared" si="50"/>
        <v>#N/A</v>
      </c>
    </row>
    <row r="276" spans="24:26">
      <c r="X276" s="3" t="e">
        <f t="shared" si="48"/>
        <v>#N/A</v>
      </c>
      <c r="Y276" s="4" t="e">
        <f t="shared" si="49"/>
        <v>#N/A</v>
      </c>
      <c r="Z276" s="4" t="e">
        <f t="shared" si="50"/>
        <v>#N/A</v>
      </c>
    </row>
    <row r="277" spans="24:26">
      <c r="X277" s="3" t="e">
        <f t="shared" si="48"/>
        <v>#N/A</v>
      </c>
      <c r="Y277" s="4" t="e">
        <f t="shared" si="49"/>
        <v>#N/A</v>
      </c>
      <c r="Z277" s="4" t="e">
        <f t="shared" si="50"/>
        <v>#N/A</v>
      </c>
    </row>
    <row r="278" spans="24:26">
      <c r="X278" s="3" t="e">
        <f t="shared" si="48"/>
        <v>#N/A</v>
      </c>
      <c r="Y278" s="4" t="e">
        <f t="shared" si="49"/>
        <v>#N/A</v>
      </c>
      <c r="Z278" s="4" t="e">
        <f t="shared" si="50"/>
        <v>#N/A</v>
      </c>
    </row>
    <row r="279" spans="24:26">
      <c r="X279" s="3" t="e">
        <f t="shared" si="48"/>
        <v>#N/A</v>
      </c>
      <c r="Y279" s="4" t="e">
        <f t="shared" si="49"/>
        <v>#N/A</v>
      </c>
      <c r="Z279" s="4" t="e">
        <f t="shared" si="50"/>
        <v>#N/A</v>
      </c>
    </row>
    <row r="280" spans="24:26">
      <c r="X280" s="3" t="e">
        <f t="shared" si="48"/>
        <v>#N/A</v>
      </c>
      <c r="Y280" s="4" t="e">
        <f t="shared" si="49"/>
        <v>#N/A</v>
      </c>
      <c r="Z280" s="4" t="e">
        <f t="shared" si="50"/>
        <v>#N/A</v>
      </c>
    </row>
    <row r="281" spans="24:26">
      <c r="X281" s="3" t="e">
        <f t="shared" si="48"/>
        <v>#N/A</v>
      </c>
      <c r="Y281" s="4" t="e">
        <f t="shared" si="49"/>
        <v>#N/A</v>
      </c>
      <c r="Z281" s="4" t="e">
        <f t="shared" si="50"/>
        <v>#N/A</v>
      </c>
    </row>
    <row r="282" spans="24:26">
      <c r="X282" s="3" t="e">
        <f t="shared" si="48"/>
        <v>#N/A</v>
      </c>
      <c r="Y282" s="4" t="e">
        <f t="shared" si="49"/>
        <v>#N/A</v>
      </c>
      <c r="Z282" s="4" t="e">
        <f t="shared" si="50"/>
        <v>#N/A</v>
      </c>
    </row>
    <row r="283" spans="24:26">
      <c r="X283" s="3" t="e">
        <f t="shared" si="48"/>
        <v>#N/A</v>
      </c>
      <c r="Y283" s="4" t="e">
        <f t="shared" si="49"/>
        <v>#N/A</v>
      </c>
      <c r="Z283" s="4" t="e">
        <f t="shared" si="50"/>
        <v>#N/A</v>
      </c>
    </row>
    <row r="284" spans="24:26">
      <c r="X284" s="3" t="e">
        <f t="shared" si="48"/>
        <v>#N/A</v>
      </c>
      <c r="Y284" s="4" t="e">
        <f t="shared" si="49"/>
        <v>#N/A</v>
      </c>
      <c r="Z284" s="4" t="e">
        <f t="shared" si="50"/>
        <v>#N/A</v>
      </c>
    </row>
    <row r="285" spans="24:26">
      <c r="X285" s="3" t="e">
        <f t="shared" si="48"/>
        <v>#N/A</v>
      </c>
      <c r="Y285" s="4" t="e">
        <f t="shared" si="49"/>
        <v>#N/A</v>
      </c>
      <c r="Z285" s="4" t="e">
        <f t="shared" si="50"/>
        <v>#N/A</v>
      </c>
    </row>
    <row r="286" spans="24:26">
      <c r="X286" s="3" t="e">
        <f t="shared" si="48"/>
        <v>#N/A</v>
      </c>
      <c r="Y286" s="4" t="e">
        <f t="shared" si="49"/>
        <v>#N/A</v>
      </c>
      <c r="Z286" s="4" t="e">
        <f t="shared" si="50"/>
        <v>#N/A</v>
      </c>
    </row>
    <row r="287" spans="24:26">
      <c r="X287" s="3" t="e">
        <f t="shared" si="48"/>
        <v>#N/A</v>
      </c>
      <c r="Y287" s="4" t="e">
        <f t="shared" si="49"/>
        <v>#N/A</v>
      </c>
      <c r="Z287" s="4" t="e">
        <f t="shared" si="50"/>
        <v>#N/A</v>
      </c>
    </row>
    <row r="288" spans="24:26">
      <c r="X288" s="3" t="e">
        <f t="shared" si="48"/>
        <v>#N/A</v>
      </c>
      <c r="Y288" s="4" t="e">
        <f t="shared" si="49"/>
        <v>#N/A</v>
      </c>
      <c r="Z288" s="4" t="e">
        <f t="shared" si="50"/>
        <v>#N/A</v>
      </c>
    </row>
    <row r="289" spans="24:26">
      <c r="X289" s="3" t="e">
        <f t="shared" si="48"/>
        <v>#N/A</v>
      </c>
      <c r="Y289" s="4" t="e">
        <f t="shared" si="49"/>
        <v>#N/A</v>
      </c>
      <c r="Z289" s="4" t="e">
        <f t="shared" si="50"/>
        <v>#N/A</v>
      </c>
    </row>
    <row r="290" spans="24:26">
      <c r="X290" s="3" t="e">
        <f t="shared" si="48"/>
        <v>#N/A</v>
      </c>
      <c r="Y290" s="4" t="e">
        <f t="shared" si="49"/>
        <v>#N/A</v>
      </c>
      <c r="Z290" s="4" t="e">
        <f t="shared" si="50"/>
        <v>#N/A</v>
      </c>
    </row>
    <row r="291" spans="24:26">
      <c r="X291" s="3" t="e">
        <f t="shared" si="48"/>
        <v>#N/A</v>
      </c>
      <c r="Y291" s="4" t="e">
        <f t="shared" si="49"/>
        <v>#N/A</v>
      </c>
      <c r="Z291" s="4" t="e">
        <f t="shared" si="50"/>
        <v>#N/A</v>
      </c>
    </row>
    <row r="292" spans="24:26">
      <c r="X292" s="3" t="e">
        <f t="shared" si="48"/>
        <v>#N/A</v>
      </c>
      <c r="Y292" s="4" t="e">
        <f t="shared" si="49"/>
        <v>#N/A</v>
      </c>
      <c r="Z292" s="4" t="e">
        <f t="shared" si="50"/>
        <v>#N/A</v>
      </c>
    </row>
    <row r="293" spans="24:26">
      <c r="X293" s="3" t="e">
        <f t="shared" si="48"/>
        <v>#N/A</v>
      </c>
      <c r="Y293" s="4" t="e">
        <f t="shared" si="49"/>
        <v>#N/A</v>
      </c>
      <c r="Z293" s="4" t="e">
        <f t="shared" si="50"/>
        <v>#N/A</v>
      </c>
    </row>
    <row r="294" spans="24:26">
      <c r="X294" s="3" t="e">
        <f t="shared" si="48"/>
        <v>#N/A</v>
      </c>
      <c r="Y294" s="4" t="e">
        <f t="shared" si="49"/>
        <v>#N/A</v>
      </c>
      <c r="Z294" s="4" t="e">
        <f t="shared" si="50"/>
        <v>#N/A</v>
      </c>
    </row>
    <row r="295" spans="24:26">
      <c r="X295" s="3" t="e">
        <f t="shared" si="48"/>
        <v>#N/A</v>
      </c>
      <c r="Y295" s="4" t="e">
        <f t="shared" si="49"/>
        <v>#N/A</v>
      </c>
      <c r="Z295" s="4" t="e">
        <f t="shared" si="50"/>
        <v>#N/A</v>
      </c>
    </row>
    <row r="296" spans="24:26">
      <c r="X296" s="3" t="e">
        <f t="shared" si="48"/>
        <v>#N/A</v>
      </c>
      <c r="Y296" s="4" t="e">
        <f t="shared" si="49"/>
        <v>#N/A</v>
      </c>
      <c r="Z296" s="4" t="e">
        <f t="shared" si="50"/>
        <v>#N/A</v>
      </c>
    </row>
    <row r="297" spans="24:26">
      <c r="X297" s="3" t="e">
        <f t="shared" si="48"/>
        <v>#N/A</v>
      </c>
      <c r="Y297" s="4" t="e">
        <f t="shared" si="49"/>
        <v>#N/A</v>
      </c>
      <c r="Z297" s="4" t="e">
        <f t="shared" si="50"/>
        <v>#N/A</v>
      </c>
    </row>
    <row r="298" spans="24:26">
      <c r="X298" s="3" t="e">
        <f t="shared" si="48"/>
        <v>#N/A</v>
      </c>
      <c r="Y298" s="4" t="e">
        <f t="shared" si="49"/>
        <v>#N/A</v>
      </c>
      <c r="Z298" s="4" t="e">
        <f t="shared" si="50"/>
        <v>#N/A</v>
      </c>
    </row>
    <row r="299" spans="24:26">
      <c r="X299" s="3" t="e">
        <f t="shared" si="48"/>
        <v>#N/A</v>
      </c>
      <c r="Y299" s="4" t="e">
        <f t="shared" si="49"/>
        <v>#N/A</v>
      </c>
      <c r="Z299" s="4" t="e">
        <f t="shared" si="50"/>
        <v>#N/A</v>
      </c>
    </row>
    <row r="300" spans="24:26">
      <c r="X300" s="3" t="e">
        <f t="shared" si="48"/>
        <v>#N/A</v>
      </c>
      <c r="Y300" s="4" t="e">
        <f t="shared" si="49"/>
        <v>#N/A</v>
      </c>
      <c r="Z300" s="4" t="e">
        <f t="shared" si="50"/>
        <v>#N/A</v>
      </c>
    </row>
    <row r="301" spans="24:26">
      <c r="X301" s="3" t="e">
        <f t="shared" si="48"/>
        <v>#N/A</v>
      </c>
      <c r="Y301" s="4" t="e">
        <f t="shared" si="49"/>
        <v>#N/A</v>
      </c>
    </row>
  </sheetData>
  <mergeCells count="5">
    <mergeCell ref="A1:I1"/>
    <mergeCell ref="A2:I2"/>
    <mergeCell ref="A3:B3"/>
    <mergeCell ref="D3:E3"/>
    <mergeCell ref="A11:I11"/>
  </mergeCells>
  <conditionalFormatting sqref="G13:G252">
    <cfRule type="cellIs" dxfId="3" priority="1" operator="greaterThan">
      <formula>0</formula>
    </cfRule>
  </conditionalFormatting>
  <conditionalFormatting sqref="H13:H252">
    <cfRule type="cellIs" dxfId="2" priority="2" operator="lessThan">
      <formula>0</formula>
    </cfRule>
  </conditionalFormatting>
  <conditionalFormatting sqref="I13:I252">
    <cfRule type="expression" dxfId="1" priority="3">
      <formula>I13="Deposit / sell"</formula>
    </cfRule>
    <cfRule type="expression" dxfId="0" priority="4">
      <formula>I13="OK"</formula>
    </cfRule>
  </conditionalFormatting>
  <dataValidations count="2">
    <dataValidation type="whole" sqref="B9" xr:uid="{00000000-0002-0000-0000-000000000000}">
      <formula1>1</formula1>
      <formula2>240</formula2>
    </dataValidation>
    <dataValidation type="decimal" sqref="B7:B8" xr:uid="{00000000-0002-0000-0000-000001000000}">
      <formula1>0</formula1>
      <formula2>1</formula2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zoomScale="115" zoomScaleNormal="115" workbookViewId="0">
      <selection activeCell="B15" sqref="B15"/>
    </sheetView>
  </sheetViews>
  <sheetFormatPr defaultRowHeight="14.3"/>
  <cols>
    <col min="1" max="1" width="95" style="5" customWidth="1"/>
    <col min="2" max="2" width="34" style="5" customWidth="1"/>
    <col min="3" max="16384" width="8.88671875" style="5"/>
  </cols>
  <sheetData>
    <row r="1" spans="1:6" ht="19.05">
      <c r="A1" s="23" t="s">
        <v>28</v>
      </c>
      <c r="B1" s="23"/>
      <c r="C1" s="23"/>
      <c r="D1" s="23"/>
      <c r="E1" s="23"/>
      <c r="F1" s="23"/>
    </row>
    <row r="3" spans="1:6">
      <c r="A3" s="17" t="s">
        <v>29</v>
      </c>
    </row>
    <row r="4" spans="1:6">
      <c r="A4" s="17" t="s">
        <v>30</v>
      </c>
    </row>
    <row r="5" spans="1:6">
      <c r="A5" s="17" t="s">
        <v>31</v>
      </c>
    </row>
    <row r="6" spans="1:6">
      <c r="A6" s="17" t="s">
        <v>32</v>
      </c>
    </row>
    <row r="7" spans="1:6">
      <c r="A7" s="17" t="s">
        <v>33</v>
      </c>
    </row>
    <row r="8" spans="1:6">
      <c r="A8" s="17" t="s">
        <v>34</v>
      </c>
    </row>
    <row r="9" spans="1:6">
      <c r="A9" s="17" t="s">
        <v>35</v>
      </c>
    </row>
    <row r="10" spans="1:6">
      <c r="A10" s="17" t="s">
        <v>36</v>
      </c>
    </row>
    <row r="12" spans="1:6">
      <c r="A12" s="18" t="s">
        <v>37</v>
      </c>
      <c r="B12" s="18" t="s">
        <v>38</v>
      </c>
    </row>
    <row r="13" spans="1:6">
      <c r="A13" s="18" t="s">
        <v>39</v>
      </c>
      <c r="B13" s="18" t="s">
        <v>40</v>
      </c>
    </row>
    <row r="14" spans="1:6">
      <c r="A14" s="18" t="s">
        <v>41</v>
      </c>
      <c r="B14" s="18" t="s">
        <v>42</v>
      </c>
    </row>
    <row r="15" spans="1:6">
      <c r="A15" s="18" t="s">
        <v>43</v>
      </c>
      <c r="B15" s="18" t="s">
        <v>44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Credit Monitor</vt:lpstr>
      <vt:lpstr>How it works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Manuel Alvarez</cp:lastModifiedBy>
  <dcterms:modified xsi:type="dcterms:W3CDTF">2026-04-19T20:44:07Z</dcterms:modified>
</cp:coreProperties>
</file>